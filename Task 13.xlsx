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7021C31F-F38C-42D5-9DC0-5BECDAEB62D6}" xr6:coauthVersionLast="47" xr6:coauthVersionMax="47" xr10:uidLastSave="{00000000-0000-0000-0000-000000000000}"/>
  <bookViews>
    <workbookView xWindow="-108" yWindow="-108" windowWidth="23256" windowHeight="12456" activeTab="1" xr2:uid="{048402DE-823D-4954-8738-E00CF187EDFD}"/>
  </bookViews>
  <sheets>
    <sheet name="Dataset" sheetId="1" r:id="rId1"/>
    <sheet name="Day 13" sheetId="2" r:id="rId2"/>
    <sheet name="Observation" sheetId="3" r:id="rId3"/>
  </sheets>
  <definedNames>
    <definedName name="ExternalData_1" localSheetId="0" hidden="1">Dataset!$A$1:$L$502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8A4FD-1F29-413A-8E39-844AE4CB2765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<sst xmlns="http://schemas.openxmlformats.org/spreadsheetml/2006/main" count="2535" uniqueCount="562">
  <si>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</si>
  <si>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</si>
  <si>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</si>
  <si>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</si>
  <si>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</si>
  <si>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</si>
  <si>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</si>
  <si>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</si>
  <si>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</si>
  <si>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</si>
  <si>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</si>
  <si>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</si>
  <si>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</si>
  <si>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</si>
  <si>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</si>
  <si>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</si>
  <si>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</si>
  <si>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</si>
  <si>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</si>
  <si>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</si>
  <si>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</si>
  <si>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</si>
  <si>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</si>
  <si>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</si>
  <si>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</si>
  <si>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</si>
  <si>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</si>
  <si>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</si>
  <si>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</si>
  <si>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</si>
  <si>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</si>
  <si>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</si>
  <si>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</si>
  <si>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</si>
  <si>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</si>
  <si>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</si>
  <si>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</si>
  <si>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</si>
  <si>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</si>
  <si>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</si>
  <si>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</si>
  <si>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</si>
  <si>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</si>
  <si>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</si>
  <si>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</si>
  <si>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</si>
  <si>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</si>
  <si>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</si>
  <si>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</si>
  <si>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</si>
  <si>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</si>
  <si>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</si>
  <si>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</si>
  <si>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</si>
  <si>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</si>
  <si>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</si>
  <si>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</si>
  <si>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</si>
  <si>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</si>
  <si>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</si>
  <si>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</si>
  <si>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</si>
  <si>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</si>
  <si>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</si>
  <si>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</si>
  <si>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</si>
  <si>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</si>
  <si>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</si>
  <si>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</si>
  <si>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</si>
  <si>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</si>
  <si>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</si>
  <si>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</si>
  <si>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</si>
  <si>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</si>
  <si>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</si>
  <si>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</si>
  <si>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</si>
  <si>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</si>
  <si>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</si>
  <si>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</si>
  <si>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</si>
  <si>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</si>
  <si>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</si>
  <si>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</si>
  <si>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</si>
  <si>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</si>
  <si>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</si>
  <si>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</si>
  <si>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</si>
  <si>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</si>
  <si>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</si>
  <si>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</si>
  <si>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</si>
  <si>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</si>
  <si>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</si>
  <si>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</si>
  <si>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</si>
  <si>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</si>
  <si>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</si>
  <si>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</si>
  <si>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</si>
  <si>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</si>
  <si>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</si>
  <si>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</si>
  <si>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</si>
  <si>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</si>
  <si>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</si>
  <si>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</si>
  <si>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</si>
  <si>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</si>
  <si>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</si>
  <si>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</si>
  <si>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</si>
  <si>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</si>
  <si>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</si>
  <si>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</si>
  <si>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</si>
  <si>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</si>
  <si>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</si>
  <si>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</si>
  <si>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</si>
  <si>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</si>
  <si>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</si>
  <si>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</si>
  <si>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</si>
  <si>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</si>
  <si>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</si>
  <si>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</si>
  <si>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</si>
  <si>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</si>
  <si>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</si>
  <si>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</si>
  <si>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</si>
  <si>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</si>
  <si>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</si>
  <si>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</si>
  <si>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</si>
  <si>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</si>
  <si>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</si>
  <si>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</si>
  <si>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</si>
  <si>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</si>
  <si>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</si>
  <si>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</si>
  <si>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</si>
  <si>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</si>
  <si>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</si>
  <si>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</si>
  <si>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</si>
  <si>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</si>
  <si>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</si>
  <si>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</si>
  <si>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</si>
  <si>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</si>
  <si>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</si>
  <si>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</si>
  <si>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</si>
  <si>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</si>
  <si>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</si>
  <si>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</si>
  <si>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</si>
  <si>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</si>
  <si>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</si>
  <si>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</si>
  <si>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</si>
  <si>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</si>
  <si>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</si>
  <si>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</si>
  <si>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</si>
  <si>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</si>
  <si>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</si>
  <si>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</si>
  <si>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</si>
  <si>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</si>
  <si>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</si>
  <si>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</si>
  <si>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</si>
  <si>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</si>
  <si>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</si>
  <si>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</si>
  <si>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</si>
  <si>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</si>
  <si>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</si>
  <si>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</si>
  <si>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</si>
  <si>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</si>
  <si>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</si>
  <si>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</si>
  <si>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</si>
  <si>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</si>
  <si>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</si>
  <si>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</si>
  <si>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</si>
  <si>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</si>
  <si>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</si>
  <si>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</si>
  <si>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</si>
  <si>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</si>
  <si>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</si>
  <si>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</si>
  <si>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</si>
  <si>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</si>
  <si>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</si>
  <si>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</si>
  <si>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</si>
  <si>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</si>
  <si>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</si>
  <si>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</si>
  <si>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</si>
  <si>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</si>
  <si>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</si>
  <si>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</si>
  <si>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</si>
  <si>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</si>
  <si>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</si>
  <si>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</si>
  <si>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</si>
  <si>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</si>
  <si>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</si>
  <si>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</si>
  <si>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</si>
  <si>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</si>
  <si>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</si>
  <si>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</si>
  <si>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</si>
  <si>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</si>
  <si>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</si>
  <si>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</si>
  <si>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</si>
  <si>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</si>
  <si>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</si>
  <si>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</si>
  <si>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</si>
  <si>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</si>
  <si>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</si>
  <si>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</si>
  <si>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</si>
  <si>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</si>
  <si>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</si>
  <si>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</si>
  <si>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</si>
  <si>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</si>
  <si>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</si>
  <si>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</si>
  <si>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</si>
  <si>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</si>
  <si>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</si>
  <si>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</si>
  <si>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</si>
  <si>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</si>
  <si>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</si>
  <si>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</si>
  <si>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</si>
  <si>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</si>
  <si>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</si>
  <si>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</si>
  <si>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</si>
  <si>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</si>
  <si>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</si>
  <si>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</si>
  <si>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</si>
  <si>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</si>
  <si>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</si>
  <si>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</si>
  <si>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</si>
  <si>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</si>
  <si>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</si>
  <si>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</si>
  <si>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</si>
  <si>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</si>
  <si>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</si>
  <si>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</si>
  <si>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</si>
  <si>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</si>
  <si>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</si>
  <si>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</si>
  <si>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</si>
  <si>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</si>
  <si>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</si>
  <si>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</si>
  <si>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</si>
  <si>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</si>
  <si>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</si>
  <si>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</si>
  <si>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</si>
  <si>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</si>
  <si>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</si>
  <si>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</si>
  <si>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</si>
  <si>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</si>
  <si>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</si>
  <si>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</si>
  <si>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</si>
  <si>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</si>
  <si>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</si>
  <si>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</si>
  <si>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</si>
  <si>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</si>
  <si>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</si>
  <si>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</si>
  <si>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</si>
  <si>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</si>
  <si>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</si>
  <si>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</si>
  <si>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</si>
  <si>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</si>
  <si>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</si>
  <si>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</si>
  <si>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</si>
  <si>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</si>
  <si>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</si>
  <si>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</si>
  <si>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</si>
  <si>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</si>
  <si>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</si>
  <si>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</si>
  <si>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</si>
  <si>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</si>
  <si>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</si>
  <si>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</si>
  <si>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</si>
  <si>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</si>
  <si>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</si>
  <si>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</si>
  <si>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</si>
  <si>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</si>
  <si>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</si>
  <si>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</si>
  <si>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</si>
  <si>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</si>
  <si>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</si>
  <si>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</si>
  <si>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</si>
  <si>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</si>
  <si>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</si>
  <si>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</si>
  <si>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</si>
  <si>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</si>
  <si>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</si>
  <si>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</si>
  <si>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</si>
  <si>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</si>
  <si>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</si>
  <si>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</si>
  <si>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</si>
  <si>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</si>
  <si>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</si>
  <si>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</si>
  <si>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</si>
  <si>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</si>
  <si>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</si>
  <si>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</si>
  <si>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</si>
  <si>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</si>
  <si>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</si>
  <si>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</si>
  <si>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</si>
  <si>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</si>
  <si>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</si>
  <si>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</si>
  <si>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</si>
  <si>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</si>
  <si>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</si>
  <si>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</si>
  <si>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</si>
  <si>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</si>
  <si>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</si>
  <si>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</si>
  <si>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</si>
  <si>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</si>
  <si>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</si>
  <si>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</si>
  <si>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</si>
  <si>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</si>
  <si>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</si>
  <si>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</si>
  <si>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</si>
  <si>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</si>
  <si>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</si>
  <si>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</si>
  <si>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</si>
  <si>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</si>
  <si>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</si>
  <si>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</si>
  <si>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</si>
  <si>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</si>
  <si>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</si>
  <si>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</si>
  <si>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</si>
  <si>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</si>
  <si>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</si>
  <si>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</si>
  <si>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</si>
  <si>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</si>
  <si>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</si>
  <si>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</si>
  <si>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</si>
  <si>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</si>
  <si>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</si>
  <si>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</si>
  <si>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</si>
  <si>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</si>
  <si>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</si>
  <si>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</si>
  <si>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</si>
  <si>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</si>
  <si>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</si>
  <si>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</si>
  <si>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</si>
  <si>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</si>
  <si>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</si>
  <si>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</si>
  <si>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</si>
  <si>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</si>
  <si>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</si>
  <si>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</si>
  <si>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</si>
  <si>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</si>
  <si>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</si>
  <si>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</si>
  <si>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</si>
  <si>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</si>
  <si>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</si>
  <si>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</si>
  <si>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</si>
  <si>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</si>
  <si>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</si>
  <si>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</si>
  <si>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</si>
  <si>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</si>
  <si>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</si>
  <si>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</si>
  <si>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</si>
  <si>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</si>
  <si>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</si>
  <si>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</si>
  <si>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</si>
  <si>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</si>
  <si>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</si>
  <si>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</si>
  <si>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</si>
  <si>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</si>
  <si>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</si>
  <si>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</si>
  <si>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</si>
  <si>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</si>
  <si>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</si>
  <si>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</si>
  <si>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</si>
  <si>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</si>
  <si>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</si>
  <si>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</si>
  <si>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</si>
  <si>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</si>
  <si>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</si>
  <si>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</si>
  <si>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</si>
  <si>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</si>
  <si>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</si>
  <si>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</si>
  <si>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</si>
  <si>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</si>
  <si>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</si>
  <si>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</si>
  <si>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</si>
  <si>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</si>
  <si>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</si>
  <si>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</si>
  <si>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</si>
  <si>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</si>
  <si>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</si>
  <si>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</si>
  <si>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</si>
  <si>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</si>
  <si>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</si>
  <si>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</si>
  <si>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</si>
  <si>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</si>
  <si>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</si>
  <si>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</si>
  <si>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</si>
  <si>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</si>
  <si>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</si>
  <si>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</si>
  <si>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</si>
  <si>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</si>
  <si>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</si>
  <si>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</si>
  <si>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</si>
  <si>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</si>
  <si>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</si>
  <si>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</si>
  <si>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</si>
  <si>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</si>
  <si>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</si>
  <si>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</si>
  <si>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</si>
  <si>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</si>
  <si>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</si>
  <si>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</si>
  <si>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</si>
  <si>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</si>
  <si>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</si>
  <si>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</si>
  <si>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</si>
  <si>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</si>
  <si>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</si>
  <si>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</si>
  <si>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</si>
  <si>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</si>
  <si>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</si>
  <si>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</si>
  <si>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</si>
  <si>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</si>
  <si>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</si>
  <si>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</si>
  <si>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</si>
  <si>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</si>
  <si>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</si>
  <si>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</si>
  <si>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</si>
  <si>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</si>
  <si>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</si>
  <si>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</si>
  <si>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</si>
  <si>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</si>
  <si>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</si>
  <si>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</si>
  <si>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</si>
  <si>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</si>
  <si>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</si>
  <si>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</si>
  <si>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</si>
  <si>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</si>
  <si>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</si>
  <si>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</si>
  <si>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</si>
  <si>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</si>
  <si>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</si>
  <si>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</si>
  <si>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</si>
  <si>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</si>
  <si>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</si>
  <si>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</si>
  <si>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</si>
  <si>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</si>
  <si>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</si>
  <si>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</si>
  <si>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</si>
  <si>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</t>
  </si>
  <si>
    <r>
      <t>Day 13 – Lookup &amp; Reference Functions (Part 1), the task is to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duplicate the dataset using the </t>
    </r>
    <r>
      <rPr>
        <b/>
        <sz val="10"/>
        <color theme="1"/>
        <rFont val="Arial Unicode MS"/>
      </rPr>
      <t>VLOOKUP()</t>
    </r>
    <r>
      <rPr>
        <b/>
        <sz val="11"/>
        <color theme="1"/>
        <rFont val="Calibri"/>
        <family val="2"/>
        <scheme val="minor"/>
      </rPr>
      <t xml:space="preserve"> function</t>
    </r>
    <r>
      <rPr>
        <sz val="11"/>
        <color theme="1"/>
        <rFont val="Calibri"/>
        <family val="2"/>
        <scheme val="minor"/>
      </rPr>
      <t>.</t>
    </r>
  </si>
  <si>
    <t>1.VLOOKUP searches for a value in the first column of a table.</t>
  </si>
  <si>
    <t>2.It retrieves matching data from another column.</t>
  </si>
  <si>
    <r>
      <t xml:space="preserve">3.The </t>
    </r>
    <r>
      <rPr>
        <b/>
        <sz val="11"/>
        <color theme="1"/>
        <rFont val="Calibri"/>
        <family val="2"/>
        <scheme val="minor"/>
      </rPr>
      <t>Order ID</t>
    </r>
    <r>
      <rPr>
        <sz val="11"/>
        <color theme="1"/>
        <rFont val="Calibri"/>
        <family val="2"/>
        <scheme val="minor"/>
      </rPr>
      <t xml:space="preserve"> is used as the lookup value.</t>
    </r>
  </si>
  <si>
    <t>4.The duplicated dataset matches the original dataset.</t>
  </si>
  <si>
    <t>6.It reduces manual data entry errors.</t>
  </si>
  <si>
    <r>
      <t xml:space="preserve">7.Using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returns an exact match.</t>
    </r>
  </si>
  <si>
    <t>8.The formula can be copied down to retrieve all records.</t>
  </si>
  <si>
    <t>9.VLOOKUP is useful for combining data from different tables.</t>
  </si>
  <si>
    <t>10.Overall, VLOOKUP makes data retrieval fast and accurate.</t>
  </si>
  <si>
    <r>
      <t xml:space="preserve">5.VLOOKUP saves time by automatically fetching data  Using this </t>
    </r>
    <r>
      <rPr>
        <b/>
        <sz val="11"/>
        <color theme="1"/>
        <rFont val="Calibri"/>
        <family val="2"/>
        <scheme val="minor"/>
      </rPr>
      <t>=VLOOKUP(A2,Dataset!A:L,2,FALSE)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</si>
</sst>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  <font>
      <b/>
      <sz val="10"/>
      <color theme="1"/>
      <name val="Arial Unicode MS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3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9D6A34-1AAF-4D32-9A4B-F18DF4FC4587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82D90-32A7-4B27-B9CC-65FE1B7B2C0D}" name="Table4__2" displayName="Table4__2" ref="A1:L502" tableType="queryTable" totalsRowShown="0">
  <tableColumns count="12">
    <tableColumn id="1" xr3:uid="{B1D21A9B-713B-4E9C-9D6B-6306121E2532}" uniqueName="1" name="Order_ID" queryTableFieldId="1"/>
    <tableColumn id="2" xr3:uid="{743C19BC-3BB7-4D44-B3FA-E473BA40D1FE}" uniqueName="2" name="Customer_Name" queryTableFieldId="2" dataDxfId="15"/>
    <tableColumn id="3" xr3:uid="{06207D31-7496-4F7D-B317-42D7EA4D86D6}" uniqueName="3" name="Product_Category" queryTableFieldId="3" dataDxfId="14"/>
    <tableColumn id="4" xr3:uid="{5D396B67-D9C3-4EF0-A014-40FF33B10ADE}" uniqueName="4" name="Product_Name" queryTableFieldId="4" dataDxfId="13"/>
    <tableColumn id="5" xr3:uid="{89D3F532-2070-4162-99A1-EECC28AA9EA7}" uniqueName="5" name="Unit_Sold" queryTableFieldId="5"/>
    <tableColumn id="6" xr3:uid="{123E87B2-853F-437C-A2E4-C618F5B0129D}" uniqueName="6" name="Unit_Price" queryTableFieldId="6"/>
    <tableColumn id="7" xr3:uid="{86E85E03-0B8E-4F00-8680-F0718CE6F70E}" uniqueName="7" name="Discount_%" queryTableFieldId="7"/>
    <tableColumn id="8" xr3:uid="{F4A84452-9EA8-4C08-8E4D-2F1F4198ACD3}" uniqueName="8" name="Sales_Amount" queryTableFieldId="8"/>
    <tableColumn id="9" xr3:uid="{9991B747-2D39-400A-81EE-20FF590B4B31}" uniqueName="9" name="Order_Date" queryTableFieldId="9" dataDxfId="12"/>
    <tableColumn id="10" xr3:uid="{A4E0B23E-BBDE-4B3B-899D-FEA977C69A06}" uniqueName="10" name="City" queryTableFieldId="10" dataDxfId="11"/>
    <tableColumn id="11" xr3:uid="{98102555-C264-4921-A466-6633574F56E7}" uniqueName="11" name="Segment" queryTableFieldId="11" dataDxfId="10"/>
    <tableColumn id="12" xr3:uid="{2A1CC8DB-D821-4175-8043-3500374F82C2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D338D8-0C1C-4D64-86EA-C5ECBD2B70BF}" name="Table2" displayName="Table2" ref="A1:F502" totalsRowShown="0" headerRowDxfId="0" headerRowBorderDxfId="8" tableBorderDxfId="9" totalsRowBorderDxfId="7">
  <autoFilter ref="A1:F502" xr:uid="{5ED338D8-0C1C-4D64-86EA-C5ECBD2B70BF}"/>
  <tableColumns count="6">
    <tableColumn id="1" xr3:uid="{DB50EB08-AE23-49DE-BA8B-81E1599EF263}" name="Order_ID" dataDxfId="6"/>
    <tableColumn id="2" xr3:uid="{5381CFF1-B14D-4C2E-B4A4-75AB445D7206}" name="Customer_Name" dataDxfId="5">
      <calculatedColumnFormula>VLOOKUP(A2,Dataset!A:L,2,FALSE)</calculatedColumnFormula>
    </tableColumn>
    <tableColumn id="3" xr3:uid="{C655D0B3-2E82-4618-A6DF-A64B9FB05555}" name="Product_Category" dataDxfId="4">
      <calculatedColumnFormula>VLOOKUP(A2,Dataset!A:L,3,FALSE)</calculatedColumnFormula>
    </tableColumn>
    <tableColumn id="4" xr3:uid="{D541F7AD-F6CB-483C-8319-28311D73E650}" name="Product_Name" dataDxfId="3">
      <calculatedColumnFormula>VLOOKUP(A2,Dataset!A:L,4,FALSE)</calculatedColumnFormula>
    </tableColumn>
    <tableColumn id="5" xr3:uid="{F23F31F8-577C-4237-AAD9-F3587F478AE2}" name="Sales_Amount" dataDxfId="2">
      <calculatedColumnFormula>VLOOKUP(A2,Dataset!A:L,8,FALSE)</calculatedColumnFormula>
    </tableColumn>
    <tableColumn id="6" xr3:uid="{78A5AC22-DB1A-4143-A0D5-117B8073959B}" name="Profit" dataDxfId="1">
      <calculatedColumnFormula>VLOOKUP(A2,Dataset!A:L,12,FALSE)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D16F-DE57-48EC-89EF-D3FCB872C2F2}">
  <dimension ref="A1:L502"/>
  <sheetViews>
    <sheetView topLeftCell="A475" workbookViewId="0">
      <selection activeCell="F496" sqref="F496"/>
    </sheetView>
  </sheetViews>
  <sheetFormatPr defaultRowHeight="14.4"/>
  <cols>
    <col min="1" max="1" width="10.33203125" customWidth="1"/>
    <col min="2" max="2" width="19.5546875" customWidth="1"/>
    <col min="3" max="3" width="16.6640625" customWidth="1"/>
    <col min="4" max="4" width="17.6640625" customWidth="1"/>
    <col min="5" max="5" width="11.109375" customWidth="1"/>
    <col min="6" max="6" width="14.109375" customWidth="1"/>
    <col min="7" max="7" width="11.109375" customWidth="1"/>
    <col min="8" max="8" width="11.6640625" customWidth="1"/>
    <col min="9" max="9" width="17.44140625" customWidth="1"/>
    <col min="10" max="10" width="14.6640625" customWidth="1"/>
    <col min="11" max="11" width="12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C185-F5E2-4568-95D1-E917C6021FB2}">
  <dimension ref="A1:F502"/>
  <sheetViews>
    <sheetView tabSelected="1" workbookViewId="0">
      <selection activeCell="I16" sqref="I16"/>
    </sheetView>
  </sheetViews>
  <sheetFormatPr defaultRowHeight="14.4"/>
  <cols>
    <col min="1" max="1" width="10.44140625" customWidth="1"/>
    <col min="2" max="2" width="18.33203125" customWidth="1"/>
    <col min="3" max="3" width="22.109375" customWidth="1"/>
    <col min="4" max="4" width="15.6640625" customWidth="1"/>
    <col min="5" max="5" width="15" customWidth="1"/>
    <col min="6" max="6" width="12.109375" customWidth="1"/>
  </cols>
  <sheetData>
    <row r="1" spans="1:6">
      <c r="A1" s="7" t="s">
        <v>0</v>
      </c>
      <c r="B1" s="8" t="s">
        <v>1</v>
      </c>
      <c r="C1" s="8" t="s">
        <v>2</v>
      </c>
      <c r="D1" s="8" t="s">
        <v>3</v>
      </c>
      <c r="E1" s="8" t="s">
        <v>7</v>
      </c>
      <c r="F1" s="9" t="s">
        <v>11</v>
      </c>
    </row>
    <row r="2" spans="1:6">
      <c r="A2" s="5">
        <v>1000</v>
      </c>
      <c r="B2" s="2">
        <f>Observation!D20</f>
        <v>0</v>
      </c>
      <c r="C2" s="2" t="str">
        <f>VLOOKUP(A2,Dataset!A:L,3,FALSE)</f>
        <v>Jeans</v>
      </c>
      <c r="D2" s="2" t="str">
        <f>VLOOKUP(A2,Dataset!A:L,4,FALSE)</f>
        <v>Slim Fit Jeans</v>
      </c>
      <c r="E2" s="2">
        <f>VLOOKUP(A2,Dataset!A:L,8,FALSE)</f>
        <v>0</v>
      </c>
      <c r="F2" s="6">
        <f>VLOOKUP(A2,Dataset!A:L,12,FALSE)</f>
        <v>2137.4499999999998</v>
      </c>
    </row>
    <row r="3" spans="1:6">
      <c r="A3" s="5">
        <v>1001</v>
      </c>
      <c r="B3" s="2" t="str">
        <f>VLOOKUP(A3,Dataset!A:L,2,FALSE)</f>
        <v>Shaun Ross</v>
      </c>
      <c r="C3" s="2" t="str">
        <f>VLOOKUP(A3,Dataset!A:L,3,FALSE)</f>
        <v>Jeans</v>
      </c>
      <c r="D3" s="2" t="str">
        <f>VLOOKUP(A3,Dataset!A:L,4,FALSE)</f>
        <v>Slim Fit Jeans</v>
      </c>
      <c r="E3" s="2">
        <f>VLOOKUP(A3,Dataset!A:L,8,FALSE)</f>
        <v>0</v>
      </c>
      <c r="F3" s="6">
        <f>VLOOKUP(A3,Dataset!A:L,12,FALSE)</f>
        <v>1588.15</v>
      </c>
    </row>
    <row r="4" spans="1:6">
      <c r="A4" s="5">
        <v>1002</v>
      </c>
      <c r="B4" s="2" t="str">
        <f>VLOOKUP(A4,Dataset!A:L,2,FALSE)</f>
        <v>Sarah Snyder</v>
      </c>
      <c r="C4" s="2" t="str">
        <f>VLOOKUP(A4,Dataset!A:L,3,FALSE)</f>
        <v>Jackets</v>
      </c>
      <c r="D4" s="2" t="str">
        <f>VLOOKUP(A4,Dataset!A:L,4,FALSE)</f>
        <v>Puffer Coat</v>
      </c>
      <c r="E4" s="2">
        <f>VLOOKUP(A4,Dataset!A:L,8,FALSE)</f>
        <v>0</v>
      </c>
      <c r="F4" s="6">
        <f>VLOOKUP(A4,Dataset!A:L,12,FALSE)</f>
        <v>-158.03</v>
      </c>
    </row>
    <row r="5" spans="1:6">
      <c r="A5" s="5">
        <v>1003</v>
      </c>
      <c r="B5" s="2" t="str">
        <f>VLOOKUP(A5,Dataset!A:L,2,FALSE)</f>
        <v>Jay Briggs</v>
      </c>
      <c r="C5" s="2" t="str">
        <f>VLOOKUP(A5,Dataset!A:L,3,FALSE)</f>
        <v>Shoes</v>
      </c>
      <c r="D5" s="2" t="str">
        <f>VLOOKUP(A5,Dataset!A:L,4,FALSE)</f>
        <v>Loafers</v>
      </c>
      <c r="E5" s="2">
        <f>VLOOKUP(A5,Dataset!A:L,8,FALSE)</f>
        <v>0</v>
      </c>
      <c r="F5" s="6">
        <f>VLOOKUP(A5,Dataset!A:L,12,FALSE)</f>
        <v>2296.5</v>
      </c>
    </row>
    <row r="6" spans="1:6">
      <c r="A6" s="5">
        <v>1004</v>
      </c>
      <c r="B6" s="2" t="str">
        <f>VLOOKUP(A6,Dataset!A:L,2,FALSE)</f>
        <v>Maria Blake</v>
      </c>
      <c r="C6" s="2" t="str">
        <f>VLOOKUP(A6,Dataset!A:L,3,FALSE)</f>
        <v>Accessories</v>
      </c>
      <c r="D6" s="2" t="str">
        <f>VLOOKUP(A6,Dataset!A:L,4,FALSE)</f>
        <v>Belts</v>
      </c>
      <c r="E6" s="2">
        <f>VLOOKUP(A6,Dataset!A:L,8,FALSE)</f>
        <v>2103.1799999999998</v>
      </c>
      <c r="F6" s="6">
        <f>VLOOKUP(A6,Dataset!A:L,12,FALSE)</f>
        <v>63.66</v>
      </c>
    </row>
    <row r="7" spans="1:6">
      <c r="A7" s="5">
        <v>1005</v>
      </c>
      <c r="B7" s="2" t="str">
        <f>VLOOKUP(A7,Dataset!A:L,2,FALSE)</f>
        <v>Samuel Miller</v>
      </c>
      <c r="C7" s="2" t="str">
        <f>VLOOKUP(A7,Dataset!A:L,3,FALSE)</f>
        <v>T-Shirts</v>
      </c>
      <c r="D7" s="2" t="str">
        <f>VLOOKUP(A7,Dataset!A:L,4,FALSE)</f>
        <v>Crop Top</v>
      </c>
      <c r="E7" s="2">
        <f>VLOOKUP(A7,Dataset!A:L,8,FALSE)</f>
        <v>0</v>
      </c>
      <c r="F7" s="6">
        <f>VLOOKUP(A7,Dataset!A:L,12,FALSE)</f>
        <v>1477.73</v>
      </c>
    </row>
    <row r="8" spans="1:6">
      <c r="A8" s="5">
        <v>1006</v>
      </c>
      <c r="B8" s="2" t="str">
        <f>VLOOKUP(A8,Dataset!A:L,2,FALSE)</f>
        <v>John Mclean</v>
      </c>
      <c r="C8" s="2" t="str">
        <f>VLOOKUP(A8,Dataset!A:L,3,FALSE)</f>
        <v>Jeans</v>
      </c>
      <c r="D8" s="2" t="str">
        <f>VLOOKUP(A8,Dataset!A:L,4,FALSE)</f>
        <v>Boyfriend Jeans</v>
      </c>
      <c r="E8" s="2">
        <f>VLOOKUP(A8,Dataset!A:L,8,FALSE)</f>
        <v>0</v>
      </c>
      <c r="F8" s="6">
        <f>VLOOKUP(A8,Dataset!A:L,12,FALSE)</f>
        <v>198.36</v>
      </c>
    </row>
    <row r="9" spans="1:6">
      <c r="A9" s="5">
        <v>1007</v>
      </c>
      <c r="B9" s="2" t="str">
        <f>VLOOKUP(A9,Dataset!A:L,2,FALSE)</f>
        <v>Dr. Kathryn Bass PhD</v>
      </c>
      <c r="C9" s="2" t="str">
        <f>VLOOKUP(A9,Dataset!A:L,3,FALSE)</f>
        <v>Dresses</v>
      </c>
      <c r="D9" s="2" t="str">
        <f>VLOOKUP(A9,Dataset!A:L,4,FALSE)</f>
        <v>Casual Midi</v>
      </c>
      <c r="E9" s="2">
        <f>VLOOKUP(A9,Dataset!A:L,8,FALSE)</f>
        <v>0</v>
      </c>
      <c r="F9" s="6">
        <f>VLOOKUP(A9,Dataset!A:L,12,FALSE)</f>
        <v>2490.0100000000002</v>
      </c>
    </row>
    <row r="10" spans="1:6">
      <c r="A10" s="5">
        <v>1008</v>
      </c>
      <c r="B10" s="2" t="str">
        <f>VLOOKUP(A10,Dataset!A:L,2,FALSE)</f>
        <v>Marie Fisher</v>
      </c>
      <c r="C10" s="2" t="str">
        <f>VLOOKUP(A10,Dataset!A:L,3,FALSE)</f>
        <v>Accessories</v>
      </c>
      <c r="D10" s="2" t="str">
        <f>VLOOKUP(A10,Dataset!A:L,4,FALSE)</f>
        <v>Sunglasses</v>
      </c>
      <c r="E10" s="2">
        <f>VLOOKUP(A10,Dataset!A:L,8,FALSE)</f>
        <v>0</v>
      </c>
      <c r="F10" s="6">
        <f>VLOOKUP(A10,Dataset!A:L,12,FALSE)</f>
        <v>-886.8</v>
      </c>
    </row>
    <row r="11" spans="1:6">
      <c r="A11" s="5">
        <v>1009</v>
      </c>
      <c r="B11" s="2" t="str">
        <f>VLOOKUP(A11,Dataset!A:L,2,FALSE)</f>
        <v>Dale Perry</v>
      </c>
      <c r="C11" s="2" t="str">
        <f>VLOOKUP(A11,Dataset!A:L,3,FALSE)</f>
        <v>T-Shirts</v>
      </c>
      <c r="D11" s="2" t="str">
        <f>VLOOKUP(A11,Dataset!A:L,4,FALSE)</f>
        <v>Oversized T-shirt</v>
      </c>
      <c r="E11" s="2">
        <f>VLOOKUP(A11,Dataset!A:L,8,FALSE)</f>
        <v>0</v>
      </c>
      <c r="F11" s="6">
        <f>VLOOKUP(A11,Dataset!A:L,12,FALSE)</f>
        <v>-972.73</v>
      </c>
    </row>
    <row r="12" spans="1:6">
      <c r="A12" s="5">
        <v>1010</v>
      </c>
      <c r="B12" s="2" t="str">
        <f>VLOOKUP(A12,Dataset!A:L,2,FALSE)</f>
        <v>Oscar Turner</v>
      </c>
      <c r="C12" s="2" t="str">
        <f>VLOOKUP(A12,Dataset!A:L,3,FALSE)</f>
        <v>T-Shirts</v>
      </c>
      <c r="D12" s="2" t="str">
        <f>VLOOKUP(A12,Dataset!A:L,4,FALSE)</f>
        <v>Crop Top</v>
      </c>
      <c r="E12" s="2">
        <f>VLOOKUP(A12,Dataset!A:L,8,FALSE)</f>
        <v>0</v>
      </c>
      <c r="F12" s="6">
        <f>VLOOKUP(A12,Dataset!A:L,12,FALSE)</f>
        <v>-950.38</v>
      </c>
    </row>
    <row r="13" spans="1:6">
      <c r="A13" s="5">
        <v>1011</v>
      </c>
      <c r="B13" s="2" t="str">
        <f>VLOOKUP(A13,Dataset!A:L,2,FALSE)</f>
        <v>Jacob Sanchez</v>
      </c>
      <c r="C13" s="2" t="str">
        <f>VLOOKUP(A13,Dataset!A:L,3,FALSE)</f>
        <v>Accessories</v>
      </c>
      <c r="D13" s="2" t="str">
        <f>VLOOKUP(A13,Dataset!A:L,4,FALSE)</f>
        <v>Belts</v>
      </c>
      <c r="E13" s="2">
        <f>VLOOKUP(A13,Dataset!A:L,8,FALSE)</f>
        <v>0</v>
      </c>
      <c r="F13" s="6">
        <f>VLOOKUP(A13,Dataset!A:L,12,FALSE)</f>
        <v>1370.67</v>
      </c>
    </row>
    <row r="14" spans="1:6">
      <c r="A14" s="5">
        <v>1012</v>
      </c>
      <c r="B14" s="2" t="str">
        <f>VLOOKUP(A14,Dataset!A:L,2,FALSE)</f>
        <v>Valerie Hampton</v>
      </c>
      <c r="C14" s="2" t="str">
        <f>VLOOKUP(A14,Dataset!A:L,3,FALSE)</f>
        <v>Jeans</v>
      </c>
      <c r="D14" s="2" t="str">
        <f>VLOOKUP(A14,Dataset!A:L,4,FALSE)</f>
        <v>Straight Cut</v>
      </c>
      <c r="E14" s="2">
        <f>VLOOKUP(A14,Dataset!A:L,8,FALSE)</f>
        <v>0</v>
      </c>
      <c r="F14" s="6">
        <f>VLOOKUP(A14,Dataset!A:L,12,FALSE)</f>
        <v>843.61</v>
      </c>
    </row>
    <row r="15" spans="1:6">
      <c r="A15" s="5">
        <v>1013</v>
      </c>
      <c r="B15" s="2" t="str">
        <f>VLOOKUP(A15,Dataset!A:L,2,FALSE)</f>
        <v>James Delgado</v>
      </c>
      <c r="C15" s="2" t="str">
        <f>VLOOKUP(A15,Dataset!A:L,3,FALSE)</f>
        <v>T-Shirts</v>
      </c>
      <c r="D15" s="2" t="str">
        <f>VLOOKUP(A15,Dataset!A:L,4,FALSE)</f>
        <v>Crop Top</v>
      </c>
      <c r="E15" s="2">
        <f>VLOOKUP(A15,Dataset!A:L,8,FALSE)</f>
        <v>0</v>
      </c>
      <c r="F15" s="6">
        <f>VLOOKUP(A15,Dataset!A:L,12,FALSE)</f>
        <v>1279.58</v>
      </c>
    </row>
    <row r="16" spans="1:6">
      <c r="A16" s="5">
        <v>1014</v>
      </c>
      <c r="B16" s="2" t="str">
        <f>VLOOKUP(A16,Dataset!A:L,2,FALSE)</f>
        <v>Richard Hood</v>
      </c>
      <c r="C16" s="2" t="str">
        <f>VLOOKUP(A16,Dataset!A:L,3,FALSE)</f>
        <v>Shoes</v>
      </c>
      <c r="D16" s="2" t="str">
        <f>VLOOKUP(A16,Dataset!A:L,4,FALSE)</f>
        <v>Loafers</v>
      </c>
      <c r="E16" s="2">
        <f>VLOOKUP(A16,Dataset!A:L,8,FALSE)</f>
        <v>0</v>
      </c>
      <c r="F16" s="6">
        <f>VLOOKUP(A16,Dataset!A:L,12,FALSE)</f>
        <v>-889.25</v>
      </c>
    </row>
    <row r="17" spans="1:6">
      <c r="A17" s="5">
        <v>1015</v>
      </c>
      <c r="B17" s="2" t="str">
        <f>VLOOKUP(A17,Dataset!A:L,2,FALSE)</f>
        <v>Julie Fox</v>
      </c>
      <c r="C17" s="2" t="str">
        <f>VLOOKUP(A17,Dataset!A:L,3,FALSE)</f>
        <v>Shoes</v>
      </c>
      <c r="D17" s="2" t="str">
        <f>VLOOKUP(A17,Dataset!A:L,4,FALSE)</f>
        <v>Sneakers</v>
      </c>
      <c r="E17" s="2">
        <f>VLOOKUP(A17,Dataset!A:L,8,FALSE)</f>
        <v>0</v>
      </c>
      <c r="F17" s="6">
        <f>VLOOKUP(A17,Dataset!A:L,12,FALSE)</f>
        <v>793.8</v>
      </c>
    </row>
    <row r="18" spans="1:6">
      <c r="A18" s="5">
        <v>1016</v>
      </c>
      <c r="B18" s="2" t="str">
        <f>VLOOKUP(A18,Dataset!A:L,2,FALSE)</f>
        <v>Valerie Garner</v>
      </c>
      <c r="C18" s="2" t="str">
        <f>VLOOKUP(A18,Dataset!A:L,3,FALSE)</f>
        <v>T-Shirts</v>
      </c>
      <c r="D18" s="2" t="str">
        <f>VLOOKUP(A18,Dataset!A:L,4,FALSE)</f>
        <v>Crop Top</v>
      </c>
      <c r="E18" s="2">
        <f>VLOOKUP(A18,Dataset!A:L,8,FALSE)</f>
        <v>0</v>
      </c>
      <c r="F18" s="6">
        <f>VLOOKUP(A18,Dataset!A:L,12,FALSE)</f>
        <v>1881.89</v>
      </c>
    </row>
    <row r="19" spans="1:6">
      <c r="A19" s="5">
        <v>1017</v>
      </c>
      <c r="B19" s="2" t="str">
        <f>VLOOKUP(A19,Dataset!A:L,2,FALSE)</f>
        <v>Alejandro Johnson</v>
      </c>
      <c r="C19" s="2" t="str">
        <f>VLOOKUP(A19,Dataset!A:L,3,FALSE)</f>
        <v>T-Shirts</v>
      </c>
      <c r="D19" s="2" t="str">
        <f>VLOOKUP(A19,Dataset!A:L,4,FALSE)</f>
        <v>Oversized T-shirt</v>
      </c>
      <c r="E19" s="2">
        <f>VLOOKUP(A19,Dataset!A:L,8,FALSE)</f>
        <v>0</v>
      </c>
      <c r="F19" s="6">
        <f>VLOOKUP(A19,Dataset!A:L,12,FALSE)</f>
        <v>-195.65</v>
      </c>
    </row>
    <row r="20" spans="1:6">
      <c r="A20" s="5">
        <v>1018</v>
      </c>
      <c r="B20" s="2" t="str">
        <f>VLOOKUP(A20,Dataset!A:L,2,FALSE)</f>
        <v>Andrew Washington</v>
      </c>
      <c r="C20" s="2" t="str">
        <f>VLOOKUP(A20,Dataset!A:L,3,FALSE)</f>
        <v>Dresses</v>
      </c>
      <c r="D20" s="2" t="str">
        <f>VLOOKUP(A20,Dataset!A:L,4,FALSE)</f>
        <v>Maxi Dress</v>
      </c>
      <c r="E20" s="2">
        <f>VLOOKUP(A20,Dataset!A:L,8,FALSE)</f>
        <v>0</v>
      </c>
      <c r="F20" s="6">
        <f>VLOOKUP(A20,Dataset!A:L,12,FALSE)</f>
        <v>2102.56</v>
      </c>
    </row>
    <row r="21" spans="1:6">
      <c r="A21" s="5">
        <v>1019</v>
      </c>
      <c r="B21" s="2" t="str">
        <f>VLOOKUP(A21,Dataset!A:L,2,FALSE)</f>
        <v>Mark Allison</v>
      </c>
      <c r="C21" s="2" t="str">
        <f>VLOOKUP(A21,Dataset!A:L,3,FALSE)</f>
        <v>Dresses</v>
      </c>
      <c r="D21" s="2" t="str">
        <f>VLOOKUP(A21,Dataset!A:L,4,FALSE)</f>
        <v>Casual Midi</v>
      </c>
      <c r="E21" s="2">
        <f>VLOOKUP(A21,Dataset!A:L,8,FALSE)</f>
        <v>0</v>
      </c>
      <c r="F21" s="6">
        <f>VLOOKUP(A21,Dataset!A:L,12,FALSE)</f>
        <v>877.21</v>
      </c>
    </row>
    <row r="22" spans="1:6">
      <c r="A22" s="5">
        <v>1020</v>
      </c>
      <c r="B22" s="2" t="str">
        <f>VLOOKUP(A22,Dataset!A:L,2,FALSE)</f>
        <v>Russell Eaton</v>
      </c>
      <c r="C22" s="2" t="str">
        <f>VLOOKUP(A22,Dataset!A:L,3,FALSE)</f>
        <v>Jeans</v>
      </c>
      <c r="D22" s="2" t="str">
        <f>VLOOKUP(A22,Dataset!A:L,4,FALSE)</f>
        <v>Boyfriend Jeans</v>
      </c>
      <c r="E22" s="2">
        <f>VLOOKUP(A22,Dataset!A:L,8,FALSE)</f>
        <v>0</v>
      </c>
      <c r="F22" s="6">
        <f>VLOOKUP(A22,Dataset!A:L,12,FALSE)</f>
        <v>669.75</v>
      </c>
    </row>
    <row r="23" spans="1:6">
      <c r="A23" s="5">
        <v>1021</v>
      </c>
      <c r="B23" s="2" t="str">
        <f>VLOOKUP(A23,Dataset!A:L,2,FALSE)</f>
        <v>Amber Bowman</v>
      </c>
      <c r="C23" s="2" t="str">
        <f>VLOOKUP(A23,Dataset!A:L,3,FALSE)</f>
        <v>Dresses</v>
      </c>
      <c r="D23" s="2" t="str">
        <f>VLOOKUP(A23,Dataset!A:L,4,FALSE)</f>
        <v>Wrap Dress</v>
      </c>
      <c r="E23" s="2">
        <f>VLOOKUP(A23,Dataset!A:L,8,FALSE)</f>
        <v>0</v>
      </c>
      <c r="F23" s="6">
        <f>VLOOKUP(A23,Dataset!A:L,12,FALSE)</f>
        <v>-705.72</v>
      </c>
    </row>
    <row r="24" spans="1:6">
      <c r="A24" s="5">
        <v>1031</v>
      </c>
      <c r="B24" s="2" t="str">
        <f>VLOOKUP(A24,Dataset!A:L,2,FALSE)</f>
        <v>Lauren Jensen</v>
      </c>
      <c r="C24" s="2" t="str">
        <f>VLOOKUP(A24,Dataset!A:L,3,FALSE)</f>
        <v>Dresses</v>
      </c>
      <c r="D24" s="2" t="str">
        <f>VLOOKUP(A24,Dataset!A:L,4,FALSE)</f>
        <v>Wrap Dress</v>
      </c>
      <c r="E24" s="2">
        <f>VLOOKUP(A24,Dataset!A:L,8,FALSE)</f>
        <v>0</v>
      </c>
      <c r="F24" s="6">
        <f>VLOOKUP(A24,Dataset!A:L,12,FALSE)</f>
        <v>-863.9</v>
      </c>
    </row>
    <row r="25" spans="1:6">
      <c r="A25" s="5">
        <v>1023</v>
      </c>
      <c r="B25" s="2" t="str">
        <f>VLOOKUP(A25,Dataset!A:L,2,FALSE)</f>
        <v>David Arnold</v>
      </c>
      <c r="C25" s="2" t="str">
        <f>VLOOKUP(A25,Dataset!A:L,3,FALSE)</f>
        <v>Shoes</v>
      </c>
      <c r="D25" s="2" t="str">
        <f>VLOOKUP(A25,Dataset!A:L,4,FALSE)</f>
        <v>Slip-ons</v>
      </c>
      <c r="E25" s="2">
        <f>VLOOKUP(A25,Dataset!A:L,8,FALSE)</f>
        <v>0</v>
      </c>
      <c r="F25" s="6">
        <f>VLOOKUP(A25,Dataset!A:L,12,FALSE)</f>
        <v>-875.51</v>
      </c>
    </row>
    <row r="26" spans="1:6">
      <c r="A26" s="5">
        <v>1024</v>
      </c>
      <c r="B26" s="2" t="str">
        <f>VLOOKUP(A26,Dataset!A:L,2,FALSE)</f>
        <v>Thomas Long</v>
      </c>
      <c r="C26" s="2" t="str">
        <f>VLOOKUP(A26,Dataset!A:L,3,FALSE)</f>
        <v>Jackets</v>
      </c>
      <c r="D26" s="2" t="str">
        <f>VLOOKUP(A26,Dataset!A:L,4,FALSE)</f>
        <v>Puffer Coat</v>
      </c>
      <c r="E26" s="2">
        <f>VLOOKUP(A26,Dataset!A:L,8,FALSE)</f>
        <v>0</v>
      </c>
      <c r="F26" s="6">
        <f>VLOOKUP(A26,Dataset!A:L,12,FALSE)</f>
        <v>491.1</v>
      </c>
    </row>
    <row r="27" spans="1:6">
      <c r="A27" s="5">
        <v>1025</v>
      </c>
      <c r="B27" s="2" t="str">
        <f>VLOOKUP(A27,Dataset!A:L,2,FALSE)</f>
        <v>Christine Reed</v>
      </c>
      <c r="C27" s="2" t="str">
        <f>VLOOKUP(A27,Dataset!A:L,3,FALSE)</f>
        <v>Jeans</v>
      </c>
      <c r="D27" s="2" t="str">
        <f>VLOOKUP(A27,Dataset!A:L,4,FALSE)</f>
        <v>Straight Cut</v>
      </c>
      <c r="E27" s="2">
        <f>VLOOKUP(A27,Dataset!A:L,8,FALSE)</f>
        <v>0</v>
      </c>
      <c r="F27" s="6">
        <f>VLOOKUP(A27,Dataset!A:L,12,FALSE)</f>
        <v>330.82</v>
      </c>
    </row>
    <row r="28" spans="1:6">
      <c r="A28" s="5">
        <v>1026</v>
      </c>
      <c r="B28" s="2" t="str">
        <f>VLOOKUP(A28,Dataset!A:L,2,FALSE)</f>
        <v>Colton Baxter</v>
      </c>
      <c r="C28" s="2" t="str">
        <f>VLOOKUP(A28,Dataset!A:L,3,FALSE)</f>
        <v>Accessories</v>
      </c>
      <c r="D28" s="2" t="str">
        <f>VLOOKUP(A28,Dataset!A:L,4,FALSE)</f>
        <v>Sunglasses</v>
      </c>
      <c r="E28" s="2">
        <f>VLOOKUP(A28,Dataset!A:L,8,FALSE)</f>
        <v>0</v>
      </c>
      <c r="F28" s="6">
        <f>VLOOKUP(A28,Dataset!A:L,12,FALSE)</f>
        <v>-194.77</v>
      </c>
    </row>
    <row r="29" spans="1:6">
      <c r="A29" s="5">
        <v>1027</v>
      </c>
      <c r="B29" s="2" t="str">
        <f>VLOOKUP(A29,Dataset!A:L,2,FALSE)</f>
        <v>Rebecca Dorsey</v>
      </c>
      <c r="C29" s="2" t="str">
        <f>VLOOKUP(A29,Dataset!A:L,3,FALSE)</f>
        <v>Accessories</v>
      </c>
      <c r="D29" s="2" t="str">
        <f>VLOOKUP(A29,Dataset!A:L,4,FALSE)</f>
        <v>Belts</v>
      </c>
      <c r="E29" s="2">
        <f>VLOOKUP(A29,Dataset!A:L,8,FALSE)</f>
        <v>0</v>
      </c>
      <c r="F29" s="6">
        <f>VLOOKUP(A29,Dataset!A:L,12,FALSE)</f>
        <v>1085.3599999999999</v>
      </c>
    </row>
    <row r="30" spans="1:6">
      <c r="A30" s="5">
        <v>1028</v>
      </c>
      <c r="B30" s="2" t="str">
        <f>VLOOKUP(A30,Dataset!A:L,2,FALSE)</f>
        <v>Felicia Orozco</v>
      </c>
      <c r="C30" s="2" t="str">
        <f>VLOOKUP(A30,Dataset!A:L,3,FALSE)</f>
        <v>T-Shirts</v>
      </c>
      <c r="D30" s="2" t="str">
        <f>VLOOKUP(A30,Dataset!A:L,4,FALSE)</f>
        <v>Classic Tee</v>
      </c>
      <c r="E30" s="2">
        <f>VLOOKUP(A30,Dataset!A:L,8,FALSE)</f>
        <v>0</v>
      </c>
      <c r="F30" s="6">
        <f>VLOOKUP(A30,Dataset!A:L,12,FALSE)</f>
        <v>2060.0300000000002</v>
      </c>
    </row>
    <row r="31" spans="1:6">
      <c r="A31" s="5">
        <v>1029</v>
      </c>
      <c r="B31" s="2" t="str">
        <f>VLOOKUP(A31,Dataset!A:L,2,FALSE)</f>
        <v>Terry Anderson</v>
      </c>
      <c r="C31" s="2" t="str">
        <f>VLOOKUP(A31,Dataset!A:L,3,FALSE)</f>
        <v>T-Shirts</v>
      </c>
      <c r="D31" s="2" t="str">
        <f>VLOOKUP(A31,Dataset!A:L,4,FALSE)</f>
        <v>Classic Tee</v>
      </c>
      <c r="E31" s="2">
        <f>VLOOKUP(A31,Dataset!A:L,8,FALSE)</f>
        <v>0</v>
      </c>
      <c r="F31" s="6">
        <f>VLOOKUP(A31,Dataset!A:L,12,FALSE)</f>
        <v>1737.92</v>
      </c>
    </row>
    <row r="32" spans="1:6">
      <c r="A32" s="5">
        <v>1030</v>
      </c>
      <c r="B32" s="2" t="str">
        <f>VLOOKUP(A32,Dataset!A:L,2,FALSE)</f>
        <v>Brandi Jones</v>
      </c>
      <c r="C32" s="2" t="str">
        <f>VLOOKUP(A32,Dataset!A:L,3,FALSE)</f>
        <v>Dresses</v>
      </c>
      <c r="D32" s="2" t="str">
        <f>VLOOKUP(A32,Dataset!A:L,4,FALSE)</f>
        <v>Maxi Dress</v>
      </c>
      <c r="E32" s="2">
        <f>VLOOKUP(A32,Dataset!A:L,8,FALSE)</f>
        <v>0</v>
      </c>
      <c r="F32" s="6">
        <f>VLOOKUP(A32,Dataset!A:L,12,FALSE)</f>
        <v>1155.3800000000001</v>
      </c>
    </row>
    <row r="33" spans="1:6">
      <c r="A33" s="5">
        <v>1031</v>
      </c>
      <c r="B33" s="2" t="str">
        <f>VLOOKUP(A33,Dataset!A:L,2,FALSE)</f>
        <v>Lauren Jensen</v>
      </c>
      <c r="C33" s="2" t="str">
        <f>VLOOKUP(A33,Dataset!A:L,3,FALSE)</f>
        <v>Dresses</v>
      </c>
      <c r="D33" s="2" t="str">
        <f>VLOOKUP(A33,Dataset!A:L,4,FALSE)</f>
        <v>Wrap Dress</v>
      </c>
      <c r="E33" s="2">
        <f>VLOOKUP(A33,Dataset!A:L,8,FALSE)</f>
        <v>0</v>
      </c>
      <c r="F33" s="6">
        <f>VLOOKUP(A33,Dataset!A:L,12,FALSE)</f>
        <v>-863.9</v>
      </c>
    </row>
    <row r="34" spans="1:6">
      <c r="A34" s="5">
        <v>1032</v>
      </c>
      <c r="B34" s="2" t="str">
        <f>VLOOKUP(A34,Dataset!A:L,2,FALSE)</f>
        <v>Kim Harris</v>
      </c>
      <c r="C34" s="2" t="str">
        <f>VLOOKUP(A34,Dataset!A:L,3,FALSE)</f>
        <v>Jeans</v>
      </c>
      <c r="D34" s="2" t="str">
        <f>VLOOKUP(A34,Dataset!A:L,4,FALSE)</f>
        <v>Boyfriend Jeans</v>
      </c>
      <c r="E34" s="2">
        <f>VLOOKUP(A34,Dataset!A:L,8,FALSE)</f>
        <v>0</v>
      </c>
      <c r="F34" s="6">
        <f>VLOOKUP(A34,Dataset!A:L,12,FALSE)</f>
        <v>1377.61</v>
      </c>
    </row>
    <row r="35" spans="1:6">
      <c r="A35" s="5">
        <v>1033</v>
      </c>
      <c r="B35" s="2" t="str">
        <f>VLOOKUP(A35,Dataset!A:L,2,FALSE)</f>
        <v>Jonathan Neal</v>
      </c>
      <c r="C35" s="2" t="str">
        <f>VLOOKUP(A35,Dataset!A:L,3,FALSE)</f>
        <v>Jeans</v>
      </c>
      <c r="D35" s="2" t="str">
        <f>VLOOKUP(A35,Dataset!A:L,4,FALSE)</f>
        <v>Straight Cut</v>
      </c>
      <c r="E35" s="2">
        <f>VLOOKUP(A35,Dataset!A:L,8,FALSE)</f>
        <v>0</v>
      </c>
      <c r="F35" s="6">
        <f>VLOOKUP(A35,Dataset!A:L,12,FALSE)</f>
        <v>903.69</v>
      </c>
    </row>
    <row r="36" spans="1:6">
      <c r="A36" s="5">
        <v>1034</v>
      </c>
      <c r="B36" s="2" t="str">
        <f>VLOOKUP(A36,Dataset!A:L,2,FALSE)</f>
        <v>Nathan Stewart</v>
      </c>
      <c r="C36" s="2" t="str">
        <f>VLOOKUP(A36,Dataset!A:L,3,FALSE)</f>
        <v>Jackets</v>
      </c>
      <c r="D36" s="2" t="str">
        <f>VLOOKUP(A36,Dataset!A:L,4,FALSE)</f>
        <v>Puffer Coat</v>
      </c>
      <c r="E36" s="2">
        <f>VLOOKUP(A36,Dataset!A:L,8,FALSE)</f>
        <v>0</v>
      </c>
      <c r="F36" s="6">
        <f>VLOOKUP(A36,Dataset!A:L,12,FALSE)</f>
        <v>-282.68</v>
      </c>
    </row>
    <row r="37" spans="1:6">
      <c r="A37" s="5">
        <v>1035</v>
      </c>
      <c r="B37" s="2" t="str">
        <f>VLOOKUP(A37,Dataset!A:L,2,FALSE)</f>
        <v>Joshua Thomas</v>
      </c>
      <c r="C37" s="2" t="str">
        <f>VLOOKUP(A37,Dataset!A:L,3,FALSE)</f>
        <v>Jackets</v>
      </c>
      <c r="D37" s="2" t="str">
        <f>VLOOKUP(A37,Dataset!A:L,4,FALSE)</f>
        <v>Bomber Jacket</v>
      </c>
      <c r="E37" s="2">
        <f>VLOOKUP(A37,Dataset!A:L,8,FALSE)</f>
        <v>0</v>
      </c>
      <c r="F37" s="6">
        <f>VLOOKUP(A37,Dataset!A:L,12,FALSE)</f>
        <v>-199.18</v>
      </c>
    </row>
    <row r="38" spans="1:6">
      <c r="A38" s="5">
        <v>1036</v>
      </c>
      <c r="B38" s="2" t="str">
        <f>VLOOKUP(A38,Dataset!A:L,2,FALSE)</f>
        <v>Connie Cunningham</v>
      </c>
      <c r="C38" s="2" t="str">
        <f>VLOOKUP(A38,Dataset!A:L,3,FALSE)</f>
        <v>T-Shirts</v>
      </c>
      <c r="D38" s="2" t="str">
        <f>VLOOKUP(A38,Dataset!A:L,4,FALSE)</f>
        <v>Graphic Tee</v>
      </c>
      <c r="E38" s="2">
        <f>VLOOKUP(A38,Dataset!A:L,8,FALSE)</f>
        <v>0</v>
      </c>
      <c r="F38" s="6">
        <f>VLOOKUP(A38,Dataset!A:L,12,FALSE)</f>
        <v>1213.95</v>
      </c>
    </row>
    <row r="39" spans="1:6">
      <c r="A39" s="5">
        <v>1037</v>
      </c>
      <c r="B39" s="2" t="str">
        <f>VLOOKUP(A39,Dataset!A:L,2,FALSE)</f>
        <v>Amy Martin</v>
      </c>
      <c r="C39" s="2" t="str">
        <f>VLOOKUP(A39,Dataset!A:L,3,FALSE)</f>
        <v>Accessories</v>
      </c>
      <c r="D39" s="2" t="str">
        <f>VLOOKUP(A39,Dataset!A:L,4,FALSE)</f>
        <v>Sunglasses</v>
      </c>
      <c r="E39" s="2">
        <f>VLOOKUP(A39,Dataset!A:L,8,FALSE)</f>
        <v>0</v>
      </c>
      <c r="F39" s="6">
        <f>VLOOKUP(A39,Dataset!A:L,12,FALSE)</f>
        <v>907.77</v>
      </c>
    </row>
    <row r="40" spans="1:6">
      <c r="A40" s="5">
        <v>1038</v>
      </c>
      <c r="B40" s="2" t="str">
        <f>VLOOKUP(A40,Dataset!A:L,2,FALSE)</f>
        <v>Courtney Riddle</v>
      </c>
      <c r="C40" s="2" t="str">
        <f>VLOOKUP(A40,Dataset!A:L,3,FALSE)</f>
        <v>T-Shirts</v>
      </c>
      <c r="D40" s="2" t="str">
        <f>VLOOKUP(A40,Dataset!A:L,4,FALSE)</f>
        <v>Crop Top</v>
      </c>
      <c r="E40" s="2">
        <f>VLOOKUP(A40,Dataset!A:L,8,FALSE)</f>
        <v>0</v>
      </c>
      <c r="F40" s="6">
        <f>VLOOKUP(A40,Dataset!A:L,12,FALSE)</f>
        <v>1704.49</v>
      </c>
    </row>
    <row r="41" spans="1:6">
      <c r="A41" s="5">
        <v>1039</v>
      </c>
      <c r="B41" s="2" t="str">
        <f>VLOOKUP(A41,Dataset!A:L,2,FALSE)</f>
        <v>Ashley Ramirez</v>
      </c>
      <c r="C41" s="2" t="str">
        <f>VLOOKUP(A41,Dataset!A:L,3,FALSE)</f>
        <v>Shoes</v>
      </c>
      <c r="D41" s="2" t="str">
        <f>VLOOKUP(A41,Dataset!A:L,4,FALSE)</f>
        <v>Boots</v>
      </c>
      <c r="E41" s="2">
        <f>VLOOKUP(A41,Dataset!A:L,8,FALSE)</f>
        <v>0</v>
      </c>
      <c r="F41" s="6">
        <f>VLOOKUP(A41,Dataset!A:L,12,FALSE)</f>
        <v>1626.51</v>
      </c>
    </row>
    <row r="42" spans="1:6">
      <c r="A42" s="5">
        <v>1040</v>
      </c>
      <c r="B42" s="2" t="str">
        <f>VLOOKUP(A42,Dataset!A:L,2,FALSE)</f>
        <v>Angel Nelson</v>
      </c>
      <c r="C42" s="2" t="str">
        <f>VLOOKUP(A42,Dataset!A:L,3,FALSE)</f>
        <v>Jackets</v>
      </c>
      <c r="D42" s="2" t="str">
        <f>VLOOKUP(A42,Dataset!A:L,4,FALSE)</f>
        <v>Denim Jacket</v>
      </c>
      <c r="E42" s="2">
        <f>VLOOKUP(A42,Dataset!A:L,8,FALSE)</f>
        <v>0</v>
      </c>
      <c r="F42" s="6">
        <f>VLOOKUP(A42,Dataset!A:L,12,FALSE)</f>
        <v>693.6</v>
      </c>
    </row>
    <row r="43" spans="1:6">
      <c r="A43" s="5">
        <v>1041</v>
      </c>
      <c r="B43" s="2" t="str">
        <f>VLOOKUP(A43,Dataset!A:L,2,FALSE)</f>
        <v>Teresa Chavez</v>
      </c>
      <c r="C43" s="2" t="str">
        <f>VLOOKUP(A43,Dataset!A:L,3,FALSE)</f>
        <v>Jackets</v>
      </c>
      <c r="D43" s="2" t="str">
        <f>VLOOKUP(A43,Dataset!A:L,4,FALSE)</f>
        <v>Puffer Coat</v>
      </c>
      <c r="E43" s="2">
        <f>VLOOKUP(A43,Dataset!A:L,8,FALSE)</f>
        <v>0</v>
      </c>
      <c r="F43" s="6">
        <f>VLOOKUP(A43,Dataset!A:L,12,FALSE)</f>
        <v>-983.06</v>
      </c>
    </row>
    <row r="44" spans="1:6">
      <c r="A44" s="5">
        <v>1042</v>
      </c>
      <c r="B44" s="2" t="str">
        <f>VLOOKUP(A44,Dataset!A:L,2,FALSE)</f>
        <v>Richard Williams</v>
      </c>
      <c r="C44" s="2" t="str">
        <f>VLOOKUP(A44,Dataset!A:L,3,FALSE)</f>
        <v>Dresses</v>
      </c>
      <c r="D44" s="2" t="str">
        <f>VLOOKUP(A44,Dataset!A:L,4,FALSE)</f>
        <v>Bodycon</v>
      </c>
      <c r="E44" s="2">
        <f>VLOOKUP(A44,Dataset!A:L,8,FALSE)</f>
        <v>0</v>
      </c>
      <c r="F44" s="6">
        <f>VLOOKUP(A44,Dataset!A:L,12,FALSE)</f>
        <v>283.39</v>
      </c>
    </row>
    <row r="45" spans="1:6">
      <c r="A45" s="5">
        <v>1043</v>
      </c>
      <c r="B45" s="2" t="str">
        <f>VLOOKUP(A45,Dataset!A:L,2,FALSE)</f>
        <v>Deborah Walker</v>
      </c>
      <c r="C45" s="2" t="str">
        <f>VLOOKUP(A45,Dataset!A:L,3,FALSE)</f>
        <v>T-Shirts</v>
      </c>
      <c r="D45" s="2" t="str">
        <f>VLOOKUP(A45,Dataset!A:L,4,FALSE)</f>
        <v>Graphic Tee</v>
      </c>
      <c r="E45" s="2">
        <f>VLOOKUP(A45,Dataset!A:L,8,FALSE)</f>
        <v>0</v>
      </c>
      <c r="F45" s="6">
        <f>VLOOKUP(A45,Dataset!A:L,12,FALSE)</f>
        <v>442.14</v>
      </c>
    </row>
    <row r="46" spans="1:6">
      <c r="A46" s="5">
        <v>1044</v>
      </c>
      <c r="B46" s="2" t="str">
        <f>VLOOKUP(A46,Dataset!A:L,2,FALSE)</f>
        <v>Elizabeth Williams</v>
      </c>
      <c r="C46" s="2" t="str">
        <f>VLOOKUP(A46,Dataset!A:L,3,FALSE)</f>
        <v>T-Shirts</v>
      </c>
      <c r="D46" s="2" t="str">
        <f>VLOOKUP(A46,Dataset!A:L,4,FALSE)</f>
        <v>Classic Tee</v>
      </c>
      <c r="E46" s="2">
        <f>VLOOKUP(A46,Dataset!A:L,8,FALSE)</f>
        <v>0</v>
      </c>
      <c r="F46" s="6">
        <f>VLOOKUP(A46,Dataset!A:L,12,FALSE)</f>
        <v>-80.23</v>
      </c>
    </row>
    <row r="47" spans="1:6">
      <c r="A47" s="5">
        <v>1045</v>
      </c>
      <c r="B47" s="2" t="str">
        <f>VLOOKUP(A47,Dataset!A:L,2,FALSE)</f>
        <v>Connie Mills</v>
      </c>
      <c r="C47" s="2" t="str">
        <f>VLOOKUP(A47,Dataset!A:L,3,FALSE)</f>
        <v>Accessories</v>
      </c>
      <c r="D47" s="2" t="str">
        <f>VLOOKUP(A47,Dataset!A:L,4,FALSE)</f>
        <v>Sunglasses</v>
      </c>
      <c r="E47" s="2">
        <f>VLOOKUP(A47,Dataset!A:L,8,FALSE)</f>
        <v>0</v>
      </c>
      <c r="F47" s="6">
        <f>VLOOKUP(A47,Dataset!A:L,12,FALSE)</f>
        <v>1323.75</v>
      </c>
    </row>
    <row r="48" spans="1:6">
      <c r="A48" s="5">
        <v>1046</v>
      </c>
      <c r="B48" s="2" t="str">
        <f>VLOOKUP(A48,Dataset!A:L,2,FALSE)</f>
        <v>Charlotte Cook</v>
      </c>
      <c r="C48" s="2" t="str">
        <f>VLOOKUP(A48,Dataset!A:L,3,FALSE)</f>
        <v>Jeans</v>
      </c>
      <c r="D48" s="2" t="str">
        <f>VLOOKUP(A48,Dataset!A:L,4,FALSE)</f>
        <v>Slim Fit Jeans</v>
      </c>
      <c r="E48" s="2">
        <f>VLOOKUP(A48,Dataset!A:L,8,FALSE)</f>
        <v>-195.35</v>
      </c>
      <c r="F48" s="6">
        <f>VLOOKUP(A48,Dataset!A:L,12,FALSE)</f>
        <v>1004.91</v>
      </c>
    </row>
    <row r="49" spans="1:6">
      <c r="A49" s="5">
        <v>1047</v>
      </c>
      <c r="B49" s="2" t="str">
        <f>VLOOKUP(A49,Dataset!A:L,2,FALSE)</f>
        <v>Matthew Thompson</v>
      </c>
      <c r="C49" s="2" t="str">
        <f>VLOOKUP(A49,Dataset!A:L,3,FALSE)</f>
        <v>Jeans</v>
      </c>
      <c r="D49" s="2" t="str">
        <f>VLOOKUP(A49,Dataset!A:L,4,FALSE)</f>
        <v>Straight Cut</v>
      </c>
      <c r="E49" s="2">
        <f>VLOOKUP(A49,Dataset!A:L,8,FALSE)</f>
        <v>0</v>
      </c>
      <c r="F49" s="6">
        <f>VLOOKUP(A49,Dataset!A:L,12,FALSE)</f>
        <v>-395.76</v>
      </c>
    </row>
    <row r="50" spans="1:6">
      <c r="A50" s="5">
        <v>1048</v>
      </c>
      <c r="B50" s="2" t="str">
        <f>VLOOKUP(A50,Dataset!A:L,2,FALSE)</f>
        <v>James Hughes</v>
      </c>
      <c r="C50" s="2" t="str">
        <f>VLOOKUP(A50,Dataset!A:L,3,FALSE)</f>
        <v>Jeans</v>
      </c>
      <c r="D50" s="2" t="str">
        <f>VLOOKUP(A50,Dataset!A:L,4,FALSE)</f>
        <v>Straight Cut</v>
      </c>
      <c r="E50" s="2">
        <f>VLOOKUP(A50,Dataset!A:L,8,FALSE)</f>
        <v>0</v>
      </c>
      <c r="F50" s="6">
        <f>VLOOKUP(A50,Dataset!A:L,12,FALSE)</f>
        <v>2409.2600000000002</v>
      </c>
    </row>
    <row r="51" spans="1:6">
      <c r="A51" s="5">
        <v>1049</v>
      </c>
      <c r="B51" s="2" t="str">
        <f>VLOOKUP(A51,Dataset!A:L,2,FALSE)</f>
        <v>Kimberly Anderson</v>
      </c>
      <c r="C51" s="2" t="str">
        <f>VLOOKUP(A51,Dataset!A:L,3,FALSE)</f>
        <v>T-Shirts</v>
      </c>
      <c r="D51" s="2" t="str">
        <f>VLOOKUP(A51,Dataset!A:L,4,FALSE)</f>
        <v>Graphic Tee</v>
      </c>
      <c r="E51" s="2">
        <f>VLOOKUP(A51,Dataset!A:L,8,FALSE)</f>
        <v>0</v>
      </c>
      <c r="F51" s="6">
        <f>VLOOKUP(A51,Dataset!A:L,12,FALSE)</f>
        <v>19.87</v>
      </c>
    </row>
    <row r="52" spans="1:6">
      <c r="A52" s="5">
        <v>1050</v>
      </c>
      <c r="B52" s="2" t="str">
        <f>VLOOKUP(A52,Dataset!A:L,2,FALSE)</f>
        <v>Matthew Schmidt</v>
      </c>
      <c r="C52" s="2" t="str">
        <f>VLOOKUP(A52,Dataset!A:L,3,FALSE)</f>
        <v>Jeans</v>
      </c>
      <c r="D52" s="2" t="str">
        <f>VLOOKUP(A52,Dataset!A:L,4,FALSE)</f>
        <v>Slim Fit Jeans</v>
      </c>
      <c r="E52" s="2">
        <f>VLOOKUP(A52,Dataset!A:L,8,FALSE)</f>
        <v>0</v>
      </c>
      <c r="F52" s="6">
        <f>VLOOKUP(A52,Dataset!A:L,12,FALSE)</f>
        <v>2904.29</v>
      </c>
    </row>
    <row r="53" spans="1:6">
      <c r="A53" s="5">
        <v>1051</v>
      </c>
      <c r="B53" s="2" t="str">
        <f>VLOOKUP(A53,Dataset!A:L,2,FALSE)</f>
        <v>Eric Wilson</v>
      </c>
      <c r="C53" s="2" t="str">
        <f>VLOOKUP(A53,Dataset!A:L,3,FALSE)</f>
        <v>Jeans</v>
      </c>
      <c r="D53" s="2" t="str">
        <f>VLOOKUP(A53,Dataset!A:L,4,FALSE)</f>
        <v>Boyfriend Jeans</v>
      </c>
      <c r="E53" s="2">
        <f>VLOOKUP(A53,Dataset!A:L,8,FALSE)</f>
        <v>0</v>
      </c>
      <c r="F53" s="6">
        <f>VLOOKUP(A53,Dataset!A:L,12,FALSE)</f>
        <v>2857.9</v>
      </c>
    </row>
    <row r="54" spans="1:6">
      <c r="A54" s="5">
        <v>1052</v>
      </c>
      <c r="B54" s="2" t="str">
        <f>VLOOKUP(A54,Dataset!A:L,2,FALSE)</f>
        <v>Zachary Ramos</v>
      </c>
      <c r="C54" s="2" t="str">
        <f>VLOOKUP(A54,Dataset!A:L,3,FALSE)</f>
        <v>Jeans</v>
      </c>
      <c r="D54" s="2" t="str">
        <f>VLOOKUP(A54,Dataset!A:L,4,FALSE)</f>
        <v>Ripped Denim</v>
      </c>
      <c r="E54" s="2">
        <f>VLOOKUP(A54,Dataset!A:L,8,FALSE)</f>
        <v>0</v>
      </c>
      <c r="F54" s="6">
        <f>VLOOKUP(A54,Dataset!A:L,12,FALSE)</f>
        <v>-11.15</v>
      </c>
    </row>
    <row r="55" spans="1:6">
      <c r="A55" s="5">
        <v>1053</v>
      </c>
      <c r="B55" s="2" t="str">
        <f>VLOOKUP(A55,Dataset!A:L,2,FALSE)</f>
        <v>Debra Pollard</v>
      </c>
      <c r="C55" s="2" t="str">
        <f>VLOOKUP(A55,Dataset!A:L,3,FALSE)</f>
        <v>Dresses</v>
      </c>
      <c r="D55" s="2" t="str">
        <f>VLOOKUP(A55,Dataset!A:L,4,FALSE)</f>
        <v>Maxi Dress</v>
      </c>
      <c r="E55" s="2">
        <f>VLOOKUP(A55,Dataset!A:L,8,FALSE)</f>
        <v>0</v>
      </c>
      <c r="F55" s="6">
        <f>VLOOKUP(A55,Dataset!A:L,12,FALSE)</f>
        <v>1057.24</v>
      </c>
    </row>
    <row r="56" spans="1:6">
      <c r="A56" s="5">
        <v>1054</v>
      </c>
      <c r="B56" s="2" t="str">
        <f>VLOOKUP(A56,Dataset!A:L,2,FALSE)</f>
        <v>Angela Martinez</v>
      </c>
      <c r="C56" s="2" t="str">
        <f>VLOOKUP(A56,Dataset!A:L,3,FALSE)</f>
        <v>T-Shirts</v>
      </c>
      <c r="D56" s="2" t="str">
        <f>VLOOKUP(A56,Dataset!A:L,4,FALSE)</f>
        <v>Classic Tee</v>
      </c>
      <c r="E56" s="2">
        <f>VLOOKUP(A56,Dataset!A:L,8,FALSE)</f>
        <v>0</v>
      </c>
      <c r="F56" s="6">
        <f>VLOOKUP(A56,Dataset!A:L,12,FALSE)</f>
        <v>1002.96</v>
      </c>
    </row>
    <row r="57" spans="1:6">
      <c r="A57" s="5">
        <v>1055</v>
      </c>
      <c r="B57" s="2" t="str">
        <f>VLOOKUP(A57,Dataset!A:L,2,FALSE)</f>
        <v>Brett Burch</v>
      </c>
      <c r="C57" s="2" t="str">
        <f>VLOOKUP(A57,Dataset!A:L,3,FALSE)</f>
        <v>Jeans</v>
      </c>
      <c r="D57" s="2" t="str">
        <f>VLOOKUP(A57,Dataset!A:L,4,FALSE)</f>
        <v>Boyfriend Jeans</v>
      </c>
      <c r="E57" s="2">
        <f>VLOOKUP(A57,Dataset!A:L,8,FALSE)</f>
        <v>0</v>
      </c>
      <c r="F57" s="6">
        <f>VLOOKUP(A57,Dataset!A:L,12,FALSE)</f>
        <v>1374.9</v>
      </c>
    </row>
    <row r="58" spans="1:6">
      <c r="A58" s="5">
        <v>1056</v>
      </c>
      <c r="B58" s="2" t="str">
        <f>VLOOKUP(A58,Dataset!A:L,2,FALSE)</f>
        <v>Jennifer English</v>
      </c>
      <c r="C58" s="2" t="str">
        <f>VLOOKUP(A58,Dataset!A:L,3,FALSE)</f>
        <v>Accessories</v>
      </c>
      <c r="D58" s="2" t="str">
        <f>VLOOKUP(A58,Dataset!A:L,4,FALSE)</f>
        <v>Sunglasses</v>
      </c>
      <c r="E58" s="2">
        <f>VLOOKUP(A58,Dataset!A:L,8,FALSE)</f>
        <v>0</v>
      </c>
      <c r="F58" s="6">
        <f>VLOOKUP(A58,Dataset!A:L,12,FALSE)</f>
        <v>-343.36</v>
      </c>
    </row>
    <row r="59" spans="1:6">
      <c r="A59" s="5">
        <v>1057</v>
      </c>
      <c r="B59" s="2" t="str">
        <f>VLOOKUP(A59,Dataset!A:L,2,FALSE)</f>
        <v>Penny Campbell</v>
      </c>
      <c r="C59" s="2" t="str">
        <f>VLOOKUP(A59,Dataset!A:L,3,FALSE)</f>
        <v>Jackets</v>
      </c>
      <c r="D59" s="2" t="str">
        <f>VLOOKUP(A59,Dataset!A:L,4,FALSE)</f>
        <v>Puffer Coat</v>
      </c>
      <c r="E59" s="2">
        <f>VLOOKUP(A59,Dataset!A:L,8,FALSE)</f>
        <v>0</v>
      </c>
      <c r="F59" s="6">
        <f>VLOOKUP(A59,Dataset!A:L,12,FALSE)</f>
        <v>1725.76</v>
      </c>
    </row>
    <row r="60" spans="1:6">
      <c r="A60" s="5">
        <v>1058</v>
      </c>
      <c r="B60" s="2" t="str">
        <f>VLOOKUP(A60,Dataset!A:L,2,FALSE)</f>
        <v>Karen Garcia</v>
      </c>
      <c r="C60" s="2" t="str">
        <f>VLOOKUP(A60,Dataset!A:L,3,FALSE)</f>
        <v>T-Shirts</v>
      </c>
      <c r="D60" s="2" t="str">
        <f>VLOOKUP(A60,Dataset!A:L,4,FALSE)</f>
        <v>Oversized T-shirt</v>
      </c>
      <c r="E60" s="2">
        <f>VLOOKUP(A60,Dataset!A:L,8,FALSE)</f>
        <v>0</v>
      </c>
      <c r="F60" s="6">
        <f>VLOOKUP(A60,Dataset!A:L,12,FALSE)</f>
        <v>1912.49</v>
      </c>
    </row>
    <row r="61" spans="1:6">
      <c r="A61" s="5">
        <v>1059</v>
      </c>
      <c r="B61" s="2" t="str">
        <f>VLOOKUP(A61,Dataset!A:L,2,FALSE)</f>
        <v>John Ramos</v>
      </c>
      <c r="C61" s="2" t="str">
        <f>VLOOKUP(A61,Dataset!A:L,3,FALSE)</f>
        <v>Jeans</v>
      </c>
      <c r="D61" s="2" t="str">
        <f>VLOOKUP(A61,Dataset!A:L,4,FALSE)</f>
        <v>Boyfriend Jeans</v>
      </c>
      <c r="E61" s="2">
        <f>VLOOKUP(A61,Dataset!A:L,8,FALSE)</f>
        <v>0</v>
      </c>
      <c r="F61" s="6">
        <f>VLOOKUP(A61,Dataset!A:L,12,FALSE)</f>
        <v>2218.42</v>
      </c>
    </row>
    <row r="62" spans="1:6">
      <c r="A62" s="5">
        <v>1060</v>
      </c>
      <c r="B62" s="2" t="str">
        <f>VLOOKUP(A62,Dataset!A:L,2,FALSE)</f>
        <v>Dylan Roberson</v>
      </c>
      <c r="C62" s="2" t="str">
        <f>VLOOKUP(A62,Dataset!A:L,3,FALSE)</f>
        <v>Jeans</v>
      </c>
      <c r="D62" s="2" t="str">
        <f>VLOOKUP(A62,Dataset!A:L,4,FALSE)</f>
        <v>Ripped Denim</v>
      </c>
      <c r="E62" s="2">
        <f>VLOOKUP(A62,Dataset!A:L,8,FALSE)</f>
        <v>0</v>
      </c>
      <c r="F62" s="6">
        <f>VLOOKUP(A62,Dataset!A:L,12,FALSE)</f>
        <v>94.96</v>
      </c>
    </row>
    <row r="63" spans="1:6">
      <c r="A63" s="5">
        <v>1061</v>
      </c>
      <c r="B63" s="2" t="str">
        <f>VLOOKUP(A63,Dataset!A:L,2,FALSE)</f>
        <v>Kelsey Reyes</v>
      </c>
      <c r="C63" s="2" t="str">
        <f>VLOOKUP(A63,Dataset!A:L,3,FALSE)</f>
        <v>Accessories</v>
      </c>
      <c r="D63" s="2" t="str">
        <f>VLOOKUP(A63,Dataset!A:L,4,FALSE)</f>
        <v>Belts</v>
      </c>
      <c r="E63" s="2">
        <f>VLOOKUP(A63,Dataset!A:L,8,FALSE)</f>
        <v>0</v>
      </c>
      <c r="F63" s="6">
        <f>VLOOKUP(A63,Dataset!A:L,12,FALSE)</f>
        <v>2536.3000000000002</v>
      </c>
    </row>
    <row r="64" spans="1:6">
      <c r="A64" s="5">
        <v>1062</v>
      </c>
      <c r="B64" s="2" t="str">
        <f>VLOOKUP(A64,Dataset!A:L,2,FALSE)</f>
        <v>Larry Gibson</v>
      </c>
      <c r="C64" s="2" t="str">
        <f>VLOOKUP(A64,Dataset!A:L,3,FALSE)</f>
        <v>Jeans</v>
      </c>
      <c r="D64" s="2" t="str">
        <f>VLOOKUP(A64,Dataset!A:L,4,FALSE)</f>
        <v>Ripped Denim</v>
      </c>
      <c r="E64" s="2">
        <f>VLOOKUP(A64,Dataset!A:L,8,FALSE)</f>
        <v>0</v>
      </c>
      <c r="F64" s="6">
        <f>VLOOKUP(A64,Dataset!A:L,12,FALSE)</f>
        <v>328.72</v>
      </c>
    </row>
    <row r="65" spans="1:6">
      <c r="A65" s="5">
        <v>1063</v>
      </c>
      <c r="B65" s="2" t="str">
        <f>VLOOKUP(A65,Dataset!A:L,2,FALSE)</f>
        <v>Kristin Ho</v>
      </c>
      <c r="C65" s="2" t="str">
        <f>VLOOKUP(A65,Dataset!A:L,3,FALSE)</f>
        <v>T-Shirts</v>
      </c>
      <c r="D65" s="2" t="str">
        <f>VLOOKUP(A65,Dataset!A:L,4,FALSE)</f>
        <v>Graphic Tee</v>
      </c>
      <c r="E65" s="2">
        <f>VLOOKUP(A65,Dataset!A:L,8,FALSE)</f>
        <v>0</v>
      </c>
      <c r="F65" s="6">
        <f>VLOOKUP(A65,Dataset!A:L,12,FALSE)</f>
        <v>2147.75</v>
      </c>
    </row>
    <row r="66" spans="1:6">
      <c r="A66" s="5">
        <v>1064</v>
      </c>
      <c r="B66" s="2" t="str">
        <f>VLOOKUP(A66,Dataset!A:L,2,FALSE)</f>
        <v>Jessica Johnston</v>
      </c>
      <c r="C66" s="2" t="str">
        <f>VLOOKUP(A66,Dataset!A:L,3,FALSE)</f>
        <v>Jackets</v>
      </c>
      <c r="D66" s="2" t="str">
        <f>VLOOKUP(A66,Dataset!A:L,4,FALSE)</f>
        <v>Denim Jacket</v>
      </c>
      <c r="E66" s="2">
        <f>VLOOKUP(A66,Dataset!A:L,8,FALSE)</f>
        <v>0</v>
      </c>
      <c r="F66" s="6">
        <f>VLOOKUP(A66,Dataset!A:L,12,FALSE)</f>
        <v>-901.74</v>
      </c>
    </row>
    <row r="67" spans="1:6">
      <c r="A67" s="5">
        <v>1065</v>
      </c>
      <c r="B67" s="2" t="str">
        <f>VLOOKUP(A67,Dataset!A:L,2,FALSE)</f>
        <v>Amanda Parker</v>
      </c>
      <c r="C67" s="2" t="str">
        <f>VLOOKUP(A67,Dataset!A:L,3,FALSE)</f>
        <v>Jeans</v>
      </c>
      <c r="D67" s="2" t="str">
        <f>VLOOKUP(A67,Dataset!A:L,4,FALSE)</f>
        <v>Boyfriend Jeans</v>
      </c>
      <c r="E67" s="2">
        <f>VLOOKUP(A67,Dataset!A:L,8,FALSE)</f>
        <v>0</v>
      </c>
      <c r="F67" s="6">
        <f>VLOOKUP(A67,Dataset!A:L,12,FALSE)</f>
        <v>2316.9699999999998</v>
      </c>
    </row>
    <row r="68" spans="1:6">
      <c r="A68" s="5">
        <v>1066</v>
      </c>
      <c r="B68" s="2" t="str">
        <f>VLOOKUP(A68,Dataset!A:L,2,FALSE)</f>
        <v>Joshua Figueroa</v>
      </c>
      <c r="C68" s="2" t="str">
        <f>VLOOKUP(A68,Dataset!A:L,3,FALSE)</f>
        <v>Shoes</v>
      </c>
      <c r="D68" s="2" t="str">
        <f>VLOOKUP(A68,Dataset!A:L,4,FALSE)</f>
        <v>Slip-ons</v>
      </c>
      <c r="E68" s="2">
        <f>VLOOKUP(A68,Dataset!A:L,8,FALSE)</f>
        <v>0</v>
      </c>
      <c r="F68" s="6">
        <f>VLOOKUP(A68,Dataset!A:L,12,FALSE)</f>
        <v>-252.78</v>
      </c>
    </row>
    <row r="69" spans="1:6">
      <c r="A69" s="5">
        <v>1067</v>
      </c>
      <c r="B69" s="2" t="str">
        <f>VLOOKUP(A69,Dataset!A:L,2,FALSE)</f>
        <v>Julie Howard</v>
      </c>
      <c r="C69" s="2" t="str">
        <f>VLOOKUP(A69,Dataset!A:L,3,FALSE)</f>
        <v>Dresses</v>
      </c>
      <c r="D69" s="2" t="str">
        <f>VLOOKUP(A69,Dataset!A:L,4,FALSE)</f>
        <v>Casual Midi</v>
      </c>
      <c r="E69" s="2">
        <f>VLOOKUP(A69,Dataset!A:L,8,FALSE)</f>
        <v>0</v>
      </c>
      <c r="F69" s="6">
        <f>VLOOKUP(A69,Dataset!A:L,12,FALSE)</f>
        <v>305.55</v>
      </c>
    </row>
    <row r="70" spans="1:6">
      <c r="A70" s="5">
        <v>1068</v>
      </c>
      <c r="B70" s="2" t="str">
        <f>VLOOKUP(A70,Dataset!A:L,2,FALSE)</f>
        <v>Brandon Lin</v>
      </c>
      <c r="C70" s="2" t="str">
        <f>VLOOKUP(A70,Dataset!A:L,3,FALSE)</f>
        <v>Dresses</v>
      </c>
      <c r="D70" s="2" t="str">
        <f>VLOOKUP(A70,Dataset!A:L,4,FALSE)</f>
        <v>Wrap Dress</v>
      </c>
      <c r="E70" s="2">
        <f>VLOOKUP(A70,Dataset!A:L,8,FALSE)</f>
        <v>0</v>
      </c>
      <c r="F70" s="6">
        <f>VLOOKUP(A70,Dataset!A:L,12,FALSE)</f>
        <v>1719.9</v>
      </c>
    </row>
    <row r="71" spans="1:6">
      <c r="A71" s="5">
        <v>1069</v>
      </c>
      <c r="B71" s="2" t="str">
        <f>VLOOKUP(A71,Dataset!A:L,2,FALSE)</f>
        <v>Anna Allen</v>
      </c>
      <c r="C71" s="2" t="str">
        <f>VLOOKUP(A71,Dataset!A:L,3,FALSE)</f>
        <v>Accessories</v>
      </c>
      <c r="D71" s="2" t="str">
        <f>VLOOKUP(A71,Dataset!A:L,4,FALSE)</f>
        <v>Watches</v>
      </c>
      <c r="E71" s="2">
        <f>VLOOKUP(A71,Dataset!A:L,8,FALSE)</f>
        <v>-546.53</v>
      </c>
      <c r="F71" s="6">
        <f>VLOOKUP(A71,Dataset!A:L,12,FALSE)</f>
        <v>-992.61</v>
      </c>
    </row>
    <row r="72" spans="1:6">
      <c r="A72" s="5">
        <v>1070</v>
      </c>
      <c r="B72" s="2" t="str">
        <f>VLOOKUP(A72,Dataset!A:L,2,FALSE)</f>
        <v>Kimberly Ho</v>
      </c>
      <c r="C72" s="2" t="str">
        <f>VLOOKUP(A72,Dataset!A:L,3,FALSE)</f>
        <v>Jackets</v>
      </c>
      <c r="D72" s="2" t="str">
        <f>VLOOKUP(A72,Dataset!A:L,4,FALSE)</f>
        <v>Leather Jacket</v>
      </c>
      <c r="E72" s="2">
        <f>VLOOKUP(A72,Dataset!A:L,8,FALSE)</f>
        <v>0</v>
      </c>
      <c r="F72" s="6">
        <f>VLOOKUP(A72,Dataset!A:L,12,FALSE)</f>
        <v>1383.48</v>
      </c>
    </row>
    <row r="73" spans="1:6">
      <c r="A73" s="5">
        <v>1071</v>
      </c>
      <c r="B73" s="2" t="str">
        <f>VLOOKUP(A73,Dataset!A:L,2,FALSE)</f>
        <v>Nancy White</v>
      </c>
      <c r="C73" s="2" t="str">
        <f>VLOOKUP(A73,Dataset!A:L,3,FALSE)</f>
        <v>Accessories</v>
      </c>
      <c r="D73" s="2" t="str">
        <f>VLOOKUP(A73,Dataset!A:L,4,FALSE)</f>
        <v>Sunglasses</v>
      </c>
      <c r="E73" s="2">
        <f>VLOOKUP(A73,Dataset!A:L,8,FALSE)</f>
        <v>0</v>
      </c>
      <c r="F73" s="6">
        <f>VLOOKUP(A73,Dataset!A:L,12,FALSE)</f>
        <v>2131.4299999999998</v>
      </c>
    </row>
    <row r="74" spans="1:6">
      <c r="A74" s="5">
        <v>1072</v>
      </c>
      <c r="B74" s="2" t="str">
        <f>VLOOKUP(A74,Dataset!A:L,2,FALSE)</f>
        <v>Eric Salazar</v>
      </c>
      <c r="C74" s="2" t="str">
        <f>VLOOKUP(A74,Dataset!A:L,3,FALSE)</f>
        <v>Dresses</v>
      </c>
      <c r="D74" s="2" t="str">
        <f>VLOOKUP(A74,Dataset!A:L,4,FALSE)</f>
        <v>Maxi Dress</v>
      </c>
      <c r="E74" s="2">
        <f>VLOOKUP(A74,Dataset!A:L,8,FALSE)</f>
        <v>0</v>
      </c>
      <c r="F74" s="6">
        <f>VLOOKUP(A74,Dataset!A:L,12,FALSE)</f>
        <v>2878.09</v>
      </c>
    </row>
    <row r="75" spans="1:6">
      <c r="A75" s="5">
        <v>1073</v>
      </c>
      <c r="B75" s="2" t="str">
        <f>VLOOKUP(A75,Dataset!A:L,2,FALSE)</f>
        <v>Michael Williamson</v>
      </c>
      <c r="C75" s="2" t="str">
        <f>VLOOKUP(A75,Dataset!A:L,3,FALSE)</f>
        <v>Jeans</v>
      </c>
      <c r="D75" s="2" t="str">
        <f>VLOOKUP(A75,Dataset!A:L,4,FALSE)</f>
        <v>Straight Cut</v>
      </c>
      <c r="E75" s="2">
        <f>VLOOKUP(A75,Dataset!A:L,8,FALSE)</f>
        <v>0</v>
      </c>
      <c r="F75" s="6">
        <f>VLOOKUP(A75,Dataset!A:L,12,FALSE)</f>
        <v>368.69</v>
      </c>
    </row>
    <row r="76" spans="1:6">
      <c r="A76" s="5">
        <v>1074</v>
      </c>
      <c r="B76" s="2" t="str">
        <f>VLOOKUP(A76,Dataset!A:L,2,FALSE)</f>
        <v>Lynn Morales</v>
      </c>
      <c r="C76" s="2" t="str">
        <f>VLOOKUP(A76,Dataset!A:L,3,FALSE)</f>
        <v>Dresses</v>
      </c>
      <c r="D76" s="2" t="str">
        <f>VLOOKUP(A76,Dataset!A:L,4,FALSE)</f>
        <v>Casual Midi</v>
      </c>
      <c r="E76" s="2">
        <f>VLOOKUP(A76,Dataset!A:L,8,FALSE)</f>
        <v>0</v>
      </c>
      <c r="F76" s="6">
        <f>VLOOKUP(A76,Dataset!A:L,12,FALSE)</f>
        <v>192.91</v>
      </c>
    </row>
    <row r="77" spans="1:6">
      <c r="A77" s="5">
        <v>1075</v>
      </c>
      <c r="B77" s="2" t="str">
        <f>VLOOKUP(A77,Dataset!A:L,2,FALSE)</f>
        <v>Jennifer Horn</v>
      </c>
      <c r="C77" s="2" t="str">
        <f>VLOOKUP(A77,Dataset!A:L,3,FALSE)</f>
        <v>T-Shirts</v>
      </c>
      <c r="D77" s="2" t="str">
        <f>VLOOKUP(A77,Dataset!A:L,4,FALSE)</f>
        <v>Crop Top</v>
      </c>
      <c r="E77" s="2">
        <f>VLOOKUP(A77,Dataset!A:L,8,FALSE)</f>
        <v>0</v>
      </c>
      <c r="F77" s="6">
        <f>VLOOKUP(A77,Dataset!A:L,12,FALSE)</f>
        <v>2418.8000000000002</v>
      </c>
    </row>
    <row r="78" spans="1:6">
      <c r="A78" s="5">
        <v>1076</v>
      </c>
      <c r="B78" s="2" t="str">
        <f>VLOOKUP(A78,Dataset!A:L,2,FALSE)</f>
        <v>Lori Preston</v>
      </c>
      <c r="C78" s="2" t="str">
        <f>VLOOKUP(A78,Dataset!A:L,3,FALSE)</f>
        <v>T-Shirts</v>
      </c>
      <c r="D78" s="2" t="str">
        <f>VLOOKUP(A78,Dataset!A:L,4,FALSE)</f>
        <v>Oversized T-shirt</v>
      </c>
      <c r="E78" s="2">
        <f>VLOOKUP(A78,Dataset!A:L,8,FALSE)</f>
        <v>0</v>
      </c>
      <c r="F78" s="6">
        <f>VLOOKUP(A78,Dataset!A:L,12,FALSE)</f>
        <v>1408.61</v>
      </c>
    </row>
    <row r="79" spans="1:6">
      <c r="A79" s="5">
        <v>1077</v>
      </c>
      <c r="B79" s="2" t="str">
        <f>VLOOKUP(A79,Dataset!A:L,2,FALSE)</f>
        <v>Gabriel Parrish</v>
      </c>
      <c r="C79" s="2" t="str">
        <f>VLOOKUP(A79,Dataset!A:L,3,FALSE)</f>
        <v>T-Shirts</v>
      </c>
      <c r="D79" s="2" t="str">
        <f>VLOOKUP(A79,Dataset!A:L,4,FALSE)</f>
        <v>Oversized T-shirt</v>
      </c>
      <c r="E79" s="2">
        <f>VLOOKUP(A79,Dataset!A:L,8,FALSE)</f>
        <v>0</v>
      </c>
      <c r="F79" s="6">
        <f>VLOOKUP(A79,Dataset!A:L,12,FALSE)</f>
        <v>902.52</v>
      </c>
    </row>
    <row r="80" spans="1:6">
      <c r="A80" s="5">
        <v>1078</v>
      </c>
      <c r="B80" s="2" t="str">
        <f>VLOOKUP(A80,Dataset!A:L,2,FALSE)</f>
        <v>Debbie Raymond</v>
      </c>
      <c r="C80" s="2" t="str">
        <f>VLOOKUP(A80,Dataset!A:L,3,FALSE)</f>
        <v>Jackets</v>
      </c>
      <c r="D80" s="2" t="str">
        <f>VLOOKUP(A80,Dataset!A:L,4,FALSE)</f>
        <v>Leather Jacket</v>
      </c>
      <c r="E80" s="2">
        <f>VLOOKUP(A80,Dataset!A:L,8,FALSE)</f>
        <v>0</v>
      </c>
      <c r="F80" s="6">
        <f>VLOOKUP(A80,Dataset!A:L,12,FALSE)</f>
        <v>-819.94</v>
      </c>
    </row>
    <row r="81" spans="1:6">
      <c r="A81" s="5">
        <v>1079</v>
      </c>
      <c r="B81" s="2" t="str">
        <f>VLOOKUP(A81,Dataset!A:L,2,FALSE)</f>
        <v>Cheryl Clark</v>
      </c>
      <c r="C81" s="2" t="str">
        <f>VLOOKUP(A81,Dataset!A:L,3,FALSE)</f>
        <v>T-Shirts</v>
      </c>
      <c r="D81" s="2" t="str">
        <f>VLOOKUP(A81,Dataset!A:L,4,FALSE)</f>
        <v>Classic Tee</v>
      </c>
      <c r="E81" s="2">
        <f>VLOOKUP(A81,Dataset!A:L,8,FALSE)</f>
        <v>0</v>
      </c>
      <c r="F81" s="6">
        <f>VLOOKUP(A81,Dataset!A:L,12,FALSE)</f>
        <v>-22.55</v>
      </c>
    </row>
    <row r="82" spans="1:6">
      <c r="A82" s="5">
        <v>1080</v>
      </c>
      <c r="B82" s="2" t="str">
        <f>VLOOKUP(A82,Dataset!A:L,2,FALSE)</f>
        <v>Laura Thompson</v>
      </c>
      <c r="C82" s="2" t="str">
        <f>VLOOKUP(A82,Dataset!A:L,3,FALSE)</f>
        <v>T-Shirts</v>
      </c>
      <c r="D82" s="2" t="str">
        <f>VLOOKUP(A82,Dataset!A:L,4,FALSE)</f>
        <v>Crop Top</v>
      </c>
      <c r="E82" s="2">
        <f>VLOOKUP(A82,Dataset!A:L,8,FALSE)</f>
        <v>0</v>
      </c>
      <c r="F82" s="6">
        <f>VLOOKUP(A82,Dataset!A:L,12,FALSE)</f>
        <v>-302.97000000000003</v>
      </c>
    </row>
    <row r="83" spans="1:6">
      <c r="A83" s="5">
        <v>1081</v>
      </c>
      <c r="B83" s="2" t="str">
        <f>VLOOKUP(A83,Dataset!A:L,2,FALSE)</f>
        <v>Mary Lin</v>
      </c>
      <c r="C83" s="2" t="str">
        <f>VLOOKUP(A83,Dataset!A:L,3,FALSE)</f>
        <v>Jeans</v>
      </c>
      <c r="D83" s="2" t="str">
        <f>VLOOKUP(A83,Dataset!A:L,4,FALSE)</f>
        <v>Boyfriend Jeans</v>
      </c>
      <c r="E83" s="2">
        <f>VLOOKUP(A83,Dataset!A:L,8,FALSE)</f>
        <v>5469.79</v>
      </c>
      <c r="F83" s="6">
        <f>VLOOKUP(A83,Dataset!A:L,12,FALSE)</f>
        <v>-361.78</v>
      </c>
    </row>
    <row r="84" spans="1:6">
      <c r="A84" s="5">
        <v>1082</v>
      </c>
      <c r="B84" s="2" t="str">
        <f>VLOOKUP(A84,Dataset!A:L,2,FALSE)</f>
        <v>Nicholas White</v>
      </c>
      <c r="C84" s="2" t="str">
        <f>VLOOKUP(A84,Dataset!A:L,3,FALSE)</f>
        <v>Dresses</v>
      </c>
      <c r="D84" s="2" t="str">
        <f>VLOOKUP(A84,Dataset!A:L,4,FALSE)</f>
        <v>Bodycon</v>
      </c>
      <c r="E84" s="2">
        <f>VLOOKUP(A84,Dataset!A:L,8,FALSE)</f>
        <v>0</v>
      </c>
      <c r="F84" s="6">
        <f>VLOOKUP(A84,Dataset!A:L,12,FALSE)</f>
        <v>712.91</v>
      </c>
    </row>
    <row r="85" spans="1:6">
      <c r="A85" s="5">
        <v>1083</v>
      </c>
      <c r="B85" s="2" t="str">
        <f>VLOOKUP(A85,Dataset!A:L,2,FALSE)</f>
        <v>Timothy Farmer</v>
      </c>
      <c r="C85" s="2" t="str">
        <f>VLOOKUP(A85,Dataset!A:L,3,FALSE)</f>
        <v>Jackets</v>
      </c>
      <c r="D85" s="2" t="str">
        <f>VLOOKUP(A85,Dataset!A:L,4,FALSE)</f>
        <v>Bomber Jacket</v>
      </c>
      <c r="E85" s="2">
        <f>VLOOKUP(A85,Dataset!A:L,8,FALSE)</f>
        <v>0</v>
      </c>
      <c r="F85" s="6">
        <f>VLOOKUP(A85,Dataset!A:L,12,FALSE)</f>
        <v>-612.62</v>
      </c>
    </row>
    <row r="86" spans="1:6">
      <c r="A86" s="5">
        <v>1084</v>
      </c>
      <c r="B86" s="2" t="str">
        <f>VLOOKUP(A86,Dataset!A:L,2,FALSE)</f>
        <v>Kevin Martinez</v>
      </c>
      <c r="C86" s="2" t="str">
        <f>VLOOKUP(A86,Dataset!A:L,3,FALSE)</f>
        <v>Shoes</v>
      </c>
      <c r="D86" s="2" t="str">
        <f>VLOOKUP(A86,Dataset!A:L,4,FALSE)</f>
        <v>Loafers</v>
      </c>
      <c r="E86" s="2">
        <f>VLOOKUP(A86,Dataset!A:L,8,FALSE)</f>
        <v>0</v>
      </c>
      <c r="F86" s="6">
        <f>VLOOKUP(A86,Dataset!A:L,12,FALSE)</f>
        <v>2458.0700000000002</v>
      </c>
    </row>
    <row r="87" spans="1:6">
      <c r="A87" s="5">
        <v>1085</v>
      </c>
      <c r="B87" s="2" t="str">
        <f>VLOOKUP(A87,Dataset!A:L,2,FALSE)</f>
        <v>James Martinez</v>
      </c>
      <c r="C87" s="2" t="str">
        <f>VLOOKUP(A87,Dataset!A:L,3,FALSE)</f>
        <v>Shoes</v>
      </c>
      <c r="D87" s="2" t="str">
        <f>VLOOKUP(A87,Dataset!A:L,4,FALSE)</f>
        <v>Slip-ons</v>
      </c>
      <c r="E87" s="2">
        <f>VLOOKUP(A87,Dataset!A:L,8,FALSE)</f>
        <v>0</v>
      </c>
      <c r="F87" s="6">
        <f>VLOOKUP(A87,Dataset!A:L,12,FALSE)</f>
        <v>264.73</v>
      </c>
    </row>
    <row r="88" spans="1:6">
      <c r="A88" s="5">
        <v>1086</v>
      </c>
      <c r="B88" s="2" t="str">
        <f>VLOOKUP(A88,Dataset!A:L,2,FALSE)</f>
        <v>Douglas Nelson</v>
      </c>
      <c r="C88" s="2" t="str">
        <f>VLOOKUP(A88,Dataset!A:L,3,FALSE)</f>
        <v>Accessories</v>
      </c>
      <c r="D88" s="2" t="str">
        <f>VLOOKUP(A88,Dataset!A:L,4,FALSE)</f>
        <v>Sunglasses</v>
      </c>
      <c r="E88" s="2">
        <f>VLOOKUP(A88,Dataset!A:L,8,FALSE)</f>
        <v>0</v>
      </c>
      <c r="F88" s="6">
        <f>VLOOKUP(A88,Dataset!A:L,12,FALSE)</f>
        <v>-865.22</v>
      </c>
    </row>
    <row r="89" spans="1:6">
      <c r="A89" s="5">
        <v>1087</v>
      </c>
      <c r="B89" s="2" t="str">
        <f>VLOOKUP(A89,Dataset!A:L,2,FALSE)</f>
        <v>Thomas Ramirez</v>
      </c>
      <c r="C89" s="2" t="str">
        <f>VLOOKUP(A89,Dataset!A:L,3,FALSE)</f>
        <v>Jeans</v>
      </c>
      <c r="D89" s="2" t="str">
        <f>VLOOKUP(A89,Dataset!A:L,4,FALSE)</f>
        <v>Ripped Denim</v>
      </c>
      <c r="E89" s="2">
        <f>VLOOKUP(A89,Dataset!A:L,8,FALSE)</f>
        <v>0</v>
      </c>
      <c r="F89" s="6">
        <f>VLOOKUP(A89,Dataset!A:L,12,FALSE)</f>
        <v>2790.95</v>
      </c>
    </row>
    <row r="90" spans="1:6">
      <c r="A90" s="5">
        <v>1088</v>
      </c>
      <c r="B90" s="2" t="str">
        <f>VLOOKUP(A90,Dataset!A:L,2,FALSE)</f>
        <v>David Faulkner</v>
      </c>
      <c r="C90" s="2" t="str">
        <f>VLOOKUP(A90,Dataset!A:L,3,FALSE)</f>
        <v>Accessories</v>
      </c>
      <c r="D90" s="2" t="str">
        <f>VLOOKUP(A90,Dataset!A:L,4,FALSE)</f>
        <v>Caps</v>
      </c>
      <c r="E90" s="2">
        <f>VLOOKUP(A90,Dataset!A:L,8,FALSE)</f>
        <v>0</v>
      </c>
      <c r="F90" s="6">
        <f>VLOOKUP(A90,Dataset!A:L,12,FALSE)</f>
        <v>1374.27</v>
      </c>
    </row>
    <row r="91" spans="1:6">
      <c r="A91" s="5">
        <v>1089</v>
      </c>
      <c r="B91" s="2" t="str">
        <f>VLOOKUP(A91,Dataset!A:L,2,FALSE)</f>
        <v>Dennis Ross</v>
      </c>
      <c r="C91" s="2" t="str">
        <f>VLOOKUP(A91,Dataset!A:L,3,FALSE)</f>
        <v>Shoes</v>
      </c>
      <c r="D91" s="2" t="str">
        <f>VLOOKUP(A91,Dataset!A:L,4,FALSE)</f>
        <v>Slip-ons</v>
      </c>
      <c r="E91" s="2">
        <f>VLOOKUP(A91,Dataset!A:L,8,FALSE)</f>
        <v>0</v>
      </c>
      <c r="F91" s="6">
        <f>VLOOKUP(A91,Dataset!A:L,12,FALSE)</f>
        <v>-355.26</v>
      </c>
    </row>
    <row r="92" spans="1:6">
      <c r="A92" s="5">
        <v>1090</v>
      </c>
      <c r="B92" s="2" t="str">
        <f>VLOOKUP(A92,Dataset!A:L,2,FALSE)</f>
        <v>Heather Arnold</v>
      </c>
      <c r="C92" s="2" t="str">
        <f>VLOOKUP(A92,Dataset!A:L,3,FALSE)</f>
        <v>Shoes</v>
      </c>
      <c r="D92" s="2" t="str">
        <f>VLOOKUP(A92,Dataset!A:L,4,FALSE)</f>
        <v>Slip-ons</v>
      </c>
      <c r="E92" s="2">
        <f>VLOOKUP(A92,Dataset!A:L,8,FALSE)</f>
        <v>0</v>
      </c>
      <c r="F92" s="6">
        <f>VLOOKUP(A92,Dataset!A:L,12,FALSE)</f>
        <v>-888.86</v>
      </c>
    </row>
    <row r="93" spans="1:6">
      <c r="A93" s="5">
        <v>1091</v>
      </c>
      <c r="B93" s="2" t="str">
        <f>VLOOKUP(A93,Dataset!A:L,2,FALSE)</f>
        <v>David Bridges</v>
      </c>
      <c r="C93" s="2" t="str">
        <f>VLOOKUP(A93,Dataset!A:L,3,FALSE)</f>
        <v>Accessories</v>
      </c>
      <c r="D93" s="2" t="str">
        <f>VLOOKUP(A93,Dataset!A:L,4,FALSE)</f>
        <v>Belts</v>
      </c>
      <c r="E93" s="2">
        <f>VLOOKUP(A93,Dataset!A:L,8,FALSE)</f>
        <v>0</v>
      </c>
      <c r="F93" s="6">
        <f>VLOOKUP(A93,Dataset!A:L,12,FALSE)</f>
        <v>156.43</v>
      </c>
    </row>
    <row r="94" spans="1:6">
      <c r="A94" s="5">
        <v>1092</v>
      </c>
      <c r="B94" s="2" t="str">
        <f>VLOOKUP(A94,Dataset!A:L,2,FALSE)</f>
        <v>Jennifer Keller</v>
      </c>
      <c r="C94" s="2" t="str">
        <f>VLOOKUP(A94,Dataset!A:L,3,FALSE)</f>
        <v>Dresses</v>
      </c>
      <c r="D94" s="2" t="str">
        <f>VLOOKUP(A94,Dataset!A:L,4,FALSE)</f>
        <v>Bodycon</v>
      </c>
      <c r="E94" s="2">
        <f>VLOOKUP(A94,Dataset!A:L,8,FALSE)</f>
        <v>0</v>
      </c>
      <c r="F94" s="6">
        <f>VLOOKUP(A94,Dataset!A:L,12,FALSE)</f>
        <v>1122.6600000000001</v>
      </c>
    </row>
    <row r="95" spans="1:6">
      <c r="A95" s="5">
        <v>1093</v>
      </c>
      <c r="B95" s="2" t="str">
        <f>VLOOKUP(A95,Dataset!A:L,2,FALSE)</f>
        <v>Amanda Myers</v>
      </c>
      <c r="C95" s="2" t="str">
        <f>VLOOKUP(A95,Dataset!A:L,3,FALSE)</f>
        <v>Dresses</v>
      </c>
      <c r="D95" s="2" t="str">
        <f>VLOOKUP(A95,Dataset!A:L,4,FALSE)</f>
        <v>Bodycon</v>
      </c>
      <c r="E95" s="2">
        <f>VLOOKUP(A95,Dataset!A:L,8,FALSE)</f>
        <v>0</v>
      </c>
      <c r="F95" s="6">
        <f>VLOOKUP(A95,Dataset!A:L,12,FALSE)</f>
        <v>2966.76</v>
      </c>
    </row>
    <row r="96" spans="1:6">
      <c r="A96" s="5">
        <v>1094</v>
      </c>
      <c r="B96" s="2" t="str">
        <f>VLOOKUP(A96,Dataset!A:L,2,FALSE)</f>
        <v>Betty Middleton</v>
      </c>
      <c r="C96" s="2" t="str">
        <f>VLOOKUP(A96,Dataset!A:L,3,FALSE)</f>
        <v>Jackets</v>
      </c>
      <c r="D96" s="2" t="str">
        <f>VLOOKUP(A96,Dataset!A:L,4,FALSE)</f>
        <v>Denim Jacket</v>
      </c>
      <c r="E96" s="2">
        <f>VLOOKUP(A96,Dataset!A:L,8,FALSE)</f>
        <v>0</v>
      </c>
      <c r="F96" s="6">
        <f>VLOOKUP(A96,Dataset!A:L,12,FALSE)</f>
        <v>1901.7</v>
      </c>
    </row>
    <row r="97" spans="1:6">
      <c r="A97" s="5">
        <v>1035</v>
      </c>
      <c r="B97" s="2" t="str">
        <f>VLOOKUP(A97,Dataset!A:L,2,FALSE)</f>
        <v>Joshua Thomas</v>
      </c>
      <c r="C97" s="2" t="str">
        <f>VLOOKUP(A97,Dataset!A:L,3,FALSE)</f>
        <v>Jackets</v>
      </c>
      <c r="D97" s="2" t="str">
        <f>VLOOKUP(A97,Dataset!A:L,4,FALSE)</f>
        <v>Bomber Jacket</v>
      </c>
      <c r="E97" s="2">
        <f>VLOOKUP(A97,Dataset!A:L,8,FALSE)</f>
        <v>0</v>
      </c>
      <c r="F97" s="6">
        <f>VLOOKUP(A97,Dataset!A:L,12,FALSE)</f>
        <v>-199.18</v>
      </c>
    </row>
    <row r="98" spans="1:6">
      <c r="A98" s="5">
        <v>1033</v>
      </c>
      <c r="B98" s="2" t="str">
        <f>VLOOKUP(A98,Dataset!A:L,2,FALSE)</f>
        <v>Jonathan Neal</v>
      </c>
      <c r="C98" s="2" t="str">
        <f>VLOOKUP(A98,Dataset!A:L,3,FALSE)</f>
        <v>Jeans</v>
      </c>
      <c r="D98" s="2" t="str">
        <f>VLOOKUP(A98,Dataset!A:L,4,FALSE)</f>
        <v>Straight Cut</v>
      </c>
      <c r="E98" s="2">
        <f>VLOOKUP(A98,Dataset!A:L,8,FALSE)</f>
        <v>0</v>
      </c>
      <c r="F98" s="6">
        <f>VLOOKUP(A98,Dataset!A:L,12,FALSE)</f>
        <v>903.69</v>
      </c>
    </row>
    <row r="99" spans="1:6">
      <c r="A99" s="5">
        <v>1097</v>
      </c>
      <c r="B99" s="2" t="str">
        <f>VLOOKUP(A99,Dataset!A:L,2,FALSE)</f>
        <v>Amber Smith</v>
      </c>
      <c r="C99" s="2" t="str">
        <f>VLOOKUP(A99,Dataset!A:L,3,FALSE)</f>
        <v>Accessories</v>
      </c>
      <c r="D99" s="2" t="str">
        <f>VLOOKUP(A99,Dataset!A:L,4,FALSE)</f>
        <v>Sunglasses</v>
      </c>
      <c r="E99" s="2">
        <f>VLOOKUP(A99,Dataset!A:L,8,FALSE)</f>
        <v>0</v>
      </c>
      <c r="F99" s="6">
        <f>VLOOKUP(A99,Dataset!A:L,12,FALSE)</f>
        <v>1141.1500000000001</v>
      </c>
    </row>
    <row r="100" spans="1:6">
      <c r="A100" s="5">
        <v>1098</v>
      </c>
      <c r="B100" s="2" t="str">
        <f>VLOOKUP(A100,Dataset!A:L,2,FALSE)</f>
        <v>Diana Jones</v>
      </c>
      <c r="C100" s="2" t="str">
        <f>VLOOKUP(A100,Dataset!A:L,3,FALSE)</f>
        <v>Accessories</v>
      </c>
      <c r="D100" s="2" t="str">
        <f>VLOOKUP(A100,Dataset!A:L,4,FALSE)</f>
        <v>Caps</v>
      </c>
      <c r="E100" s="2">
        <f>VLOOKUP(A100,Dataset!A:L,8,FALSE)</f>
        <v>0</v>
      </c>
      <c r="F100" s="6">
        <f>VLOOKUP(A100,Dataset!A:L,12,FALSE)</f>
        <v>129.37</v>
      </c>
    </row>
    <row r="101" spans="1:6">
      <c r="A101" s="5">
        <v>1099</v>
      </c>
      <c r="B101" s="2" t="str">
        <f>VLOOKUP(A101,Dataset!A:L,2,FALSE)</f>
        <v>Valerie Walker</v>
      </c>
      <c r="C101" s="2" t="str">
        <f>VLOOKUP(A101,Dataset!A:L,3,FALSE)</f>
        <v>Shoes</v>
      </c>
      <c r="D101" s="2" t="str">
        <f>VLOOKUP(A101,Dataset!A:L,4,FALSE)</f>
        <v>Loafers</v>
      </c>
      <c r="E101" s="2">
        <f>VLOOKUP(A101,Dataset!A:L,8,FALSE)</f>
        <v>0</v>
      </c>
      <c r="F101" s="6">
        <f>VLOOKUP(A101,Dataset!A:L,12,FALSE)</f>
        <v>300.02</v>
      </c>
    </row>
    <row r="102" spans="1:6">
      <c r="A102" s="5">
        <v>1100</v>
      </c>
      <c r="B102" s="2" t="str">
        <f>VLOOKUP(A102,Dataset!A:L,2,FALSE)</f>
        <v>Daniel Brown</v>
      </c>
      <c r="C102" s="2" t="str">
        <f>VLOOKUP(A102,Dataset!A:L,3,FALSE)</f>
        <v>Shoes</v>
      </c>
      <c r="D102" s="2" t="str">
        <f>VLOOKUP(A102,Dataset!A:L,4,FALSE)</f>
        <v>Boots</v>
      </c>
      <c r="E102" s="2">
        <f>VLOOKUP(A102,Dataset!A:L,8,FALSE)</f>
        <v>0</v>
      </c>
      <c r="F102" s="6">
        <f>VLOOKUP(A102,Dataset!A:L,12,FALSE)</f>
        <v>2493.5</v>
      </c>
    </row>
    <row r="103" spans="1:6">
      <c r="A103" s="5">
        <v>1101</v>
      </c>
      <c r="B103" s="2" t="str">
        <f>VLOOKUP(A103,Dataset!A:L,2,FALSE)</f>
        <v>Stephen Smith</v>
      </c>
      <c r="C103" s="2" t="str">
        <f>VLOOKUP(A103,Dataset!A:L,3,FALSE)</f>
        <v>Jeans</v>
      </c>
      <c r="D103" s="2" t="str">
        <f>VLOOKUP(A103,Dataset!A:L,4,FALSE)</f>
        <v>Boyfriend Jeans</v>
      </c>
      <c r="E103" s="2">
        <f>VLOOKUP(A103,Dataset!A:L,8,FALSE)</f>
        <v>0</v>
      </c>
      <c r="F103" s="6">
        <f>VLOOKUP(A103,Dataset!A:L,12,FALSE)</f>
        <v>2962.73</v>
      </c>
    </row>
    <row r="104" spans="1:6">
      <c r="A104" s="5">
        <v>1102</v>
      </c>
      <c r="B104" s="2" t="str">
        <f>VLOOKUP(A104,Dataset!A:L,2,FALSE)</f>
        <v>Kimberly Walter</v>
      </c>
      <c r="C104" s="2" t="str">
        <f>VLOOKUP(A104,Dataset!A:L,3,FALSE)</f>
        <v>Jeans</v>
      </c>
      <c r="D104" s="2" t="str">
        <f>VLOOKUP(A104,Dataset!A:L,4,FALSE)</f>
        <v>Boyfriend Jeans</v>
      </c>
      <c r="E104" s="2">
        <f>VLOOKUP(A104,Dataset!A:L,8,FALSE)</f>
        <v>0</v>
      </c>
      <c r="F104" s="6">
        <f>VLOOKUP(A104,Dataset!A:L,12,FALSE)</f>
        <v>2776.7</v>
      </c>
    </row>
    <row r="105" spans="1:6">
      <c r="A105" s="5">
        <v>1103</v>
      </c>
      <c r="B105" s="2" t="str">
        <f>VLOOKUP(A105,Dataset!A:L,2,FALSE)</f>
        <v>Brandon Webb</v>
      </c>
      <c r="C105" s="2" t="str">
        <f>VLOOKUP(A105,Dataset!A:L,3,FALSE)</f>
        <v>Dresses</v>
      </c>
      <c r="D105" s="2" t="str">
        <f>VLOOKUP(A105,Dataset!A:L,4,FALSE)</f>
        <v>Bodycon</v>
      </c>
      <c r="E105" s="2">
        <f>VLOOKUP(A105,Dataset!A:L,8,FALSE)</f>
        <v>0</v>
      </c>
      <c r="F105" s="6">
        <f>VLOOKUP(A105,Dataset!A:L,12,FALSE)</f>
        <v>1713.47</v>
      </c>
    </row>
    <row r="106" spans="1:6">
      <c r="A106" s="5">
        <v>1104</v>
      </c>
      <c r="B106" s="2" t="str">
        <f>VLOOKUP(A106,Dataset!A:L,2,FALSE)</f>
        <v>Andrew Moreno</v>
      </c>
      <c r="C106" s="2" t="str">
        <f>VLOOKUP(A106,Dataset!A:L,3,FALSE)</f>
        <v>Dresses</v>
      </c>
      <c r="D106" s="2" t="str">
        <f>VLOOKUP(A106,Dataset!A:L,4,FALSE)</f>
        <v>Maxi Dress</v>
      </c>
      <c r="E106" s="2">
        <f>VLOOKUP(A106,Dataset!A:L,8,FALSE)</f>
        <v>0</v>
      </c>
      <c r="F106" s="6">
        <f>VLOOKUP(A106,Dataset!A:L,12,FALSE)</f>
        <v>1660.01</v>
      </c>
    </row>
    <row r="107" spans="1:6">
      <c r="A107" s="5">
        <v>1105</v>
      </c>
      <c r="B107" s="2" t="str">
        <f>VLOOKUP(A107,Dataset!A:L,2,FALSE)</f>
        <v>Willie Smith</v>
      </c>
      <c r="C107" s="2" t="str">
        <f>VLOOKUP(A107,Dataset!A:L,3,FALSE)</f>
        <v>Dresses</v>
      </c>
      <c r="D107" s="2" t="str">
        <f>VLOOKUP(A107,Dataset!A:L,4,FALSE)</f>
        <v>Maxi Dress</v>
      </c>
      <c r="E107" s="2">
        <f>VLOOKUP(A107,Dataset!A:L,8,FALSE)</f>
        <v>0</v>
      </c>
      <c r="F107" s="6">
        <f>VLOOKUP(A107,Dataset!A:L,12,FALSE)</f>
        <v>616.04</v>
      </c>
    </row>
    <row r="108" spans="1:6">
      <c r="A108" s="5">
        <v>1106</v>
      </c>
      <c r="B108" s="2" t="str">
        <f>VLOOKUP(A108,Dataset!A:L,2,FALSE)</f>
        <v>Evelyn Allison</v>
      </c>
      <c r="C108" s="2" t="str">
        <f>VLOOKUP(A108,Dataset!A:L,3,FALSE)</f>
        <v>Jeans</v>
      </c>
      <c r="D108" s="2" t="str">
        <f>VLOOKUP(A108,Dataset!A:L,4,FALSE)</f>
        <v>Boyfriend Jeans</v>
      </c>
      <c r="E108" s="2">
        <f>VLOOKUP(A108,Dataset!A:L,8,FALSE)</f>
        <v>0</v>
      </c>
      <c r="F108" s="6">
        <f>VLOOKUP(A108,Dataset!A:L,12,FALSE)</f>
        <v>53.28</v>
      </c>
    </row>
    <row r="109" spans="1:6">
      <c r="A109" s="5">
        <v>1107</v>
      </c>
      <c r="B109" s="2" t="str">
        <f>VLOOKUP(A109,Dataset!A:L,2,FALSE)</f>
        <v>Elizabeth Hood</v>
      </c>
      <c r="C109" s="2" t="str">
        <f>VLOOKUP(A109,Dataset!A:L,3,FALSE)</f>
        <v>Jeans</v>
      </c>
      <c r="D109" s="2" t="str">
        <f>VLOOKUP(A109,Dataset!A:L,4,FALSE)</f>
        <v>Straight Cut</v>
      </c>
      <c r="E109" s="2">
        <f>VLOOKUP(A109,Dataset!A:L,8,FALSE)</f>
        <v>0</v>
      </c>
      <c r="F109" s="6">
        <f>VLOOKUP(A109,Dataset!A:L,12,FALSE)</f>
        <v>1064.8599999999999</v>
      </c>
    </row>
    <row r="110" spans="1:6">
      <c r="A110" s="5">
        <v>1036</v>
      </c>
      <c r="B110" s="2" t="str">
        <f>VLOOKUP(A110,Dataset!A:L,2,FALSE)</f>
        <v>Connie Cunningham</v>
      </c>
      <c r="C110" s="2" t="str">
        <f>VLOOKUP(A110,Dataset!A:L,3,FALSE)</f>
        <v>T-Shirts</v>
      </c>
      <c r="D110" s="2" t="str">
        <f>VLOOKUP(A110,Dataset!A:L,4,FALSE)</f>
        <v>Graphic Tee</v>
      </c>
      <c r="E110" s="2">
        <f>VLOOKUP(A110,Dataset!A:L,8,FALSE)</f>
        <v>0</v>
      </c>
      <c r="F110" s="6">
        <f>VLOOKUP(A110,Dataset!A:L,12,FALSE)</f>
        <v>1213.95</v>
      </c>
    </row>
    <row r="111" spans="1:6">
      <c r="A111" s="5">
        <v>1109</v>
      </c>
      <c r="B111" s="2" t="str">
        <f>VLOOKUP(A111,Dataset!A:L,2,FALSE)</f>
        <v>Nicole Evans</v>
      </c>
      <c r="C111" s="2" t="str">
        <f>VLOOKUP(A111,Dataset!A:L,3,FALSE)</f>
        <v>Jeans</v>
      </c>
      <c r="D111" s="2" t="str">
        <f>VLOOKUP(A111,Dataset!A:L,4,FALSE)</f>
        <v>Ripped Denim</v>
      </c>
      <c r="E111" s="2">
        <f>VLOOKUP(A111,Dataset!A:L,8,FALSE)</f>
        <v>0</v>
      </c>
      <c r="F111" s="6">
        <f>VLOOKUP(A111,Dataset!A:L,12,FALSE)</f>
        <v>2133.58</v>
      </c>
    </row>
    <row r="112" spans="1:6">
      <c r="A112" s="5">
        <v>1110</v>
      </c>
      <c r="B112" s="2" t="str">
        <f>VLOOKUP(A112,Dataset!A:L,2,FALSE)</f>
        <v>Michael Velasquez</v>
      </c>
      <c r="C112" s="2" t="str">
        <f>VLOOKUP(A112,Dataset!A:L,3,FALSE)</f>
        <v>Jeans</v>
      </c>
      <c r="D112" s="2" t="str">
        <f>VLOOKUP(A112,Dataset!A:L,4,FALSE)</f>
        <v>Slim Fit Jeans</v>
      </c>
      <c r="E112" s="2">
        <f>VLOOKUP(A112,Dataset!A:L,8,FALSE)</f>
        <v>0</v>
      </c>
      <c r="F112" s="6">
        <f>VLOOKUP(A112,Dataset!A:L,12,FALSE)</f>
        <v>2155.6799999999998</v>
      </c>
    </row>
    <row r="113" spans="1:6">
      <c r="A113" s="5">
        <v>1111</v>
      </c>
      <c r="B113" s="2" t="str">
        <f>VLOOKUP(A113,Dataset!A:L,2,FALSE)</f>
        <v>Tammy Gonzales</v>
      </c>
      <c r="C113" s="2" t="str">
        <f>VLOOKUP(A113,Dataset!A:L,3,FALSE)</f>
        <v>T-Shirts</v>
      </c>
      <c r="D113" s="2" t="str">
        <f>VLOOKUP(A113,Dataset!A:L,4,FALSE)</f>
        <v>Classic Tee</v>
      </c>
      <c r="E113" s="2">
        <f>VLOOKUP(A113,Dataset!A:L,8,FALSE)</f>
        <v>0</v>
      </c>
      <c r="F113" s="6">
        <f>VLOOKUP(A113,Dataset!A:L,12,FALSE)</f>
        <v>748.93</v>
      </c>
    </row>
    <row r="114" spans="1:6">
      <c r="A114" s="5">
        <v>1112</v>
      </c>
      <c r="B114" s="2" t="str">
        <f>VLOOKUP(A114,Dataset!A:L,2,FALSE)</f>
        <v>Sherry Shepard</v>
      </c>
      <c r="C114" s="2" t="str">
        <f>VLOOKUP(A114,Dataset!A:L,3,FALSE)</f>
        <v>Dresses</v>
      </c>
      <c r="D114" s="2" t="str">
        <f>VLOOKUP(A114,Dataset!A:L,4,FALSE)</f>
        <v>Casual Midi</v>
      </c>
      <c r="E114" s="2">
        <f>VLOOKUP(A114,Dataset!A:L,8,FALSE)</f>
        <v>0</v>
      </c>
      <c r="F114" s="6">
        <f>VLOOKUP(A114,Dataset!A:L,12,FALSE)</f>
        <v>1160.17</v>
      </c>
    </row>
    <row r="115" spans="1:6">
      <c r="A115" s="5">
        <v>1113</v>
      </c>
      <c r="B115" s="2" t="str">
        <f>VLOOKUP(A115,Dataset!A:L,2,FALSE)</f>
        <v>Derek Edwards</v>
      </c>
      <c r="C115" s="2" t="str">
        <f>VLOOKUP(A115,Dataset!A:L,3,FALSE)</f>
        <v>Jackets</v>
      </c>
      <c r="D115" s="2" t="str">
        <f>VLOOKUP(A115,Dataset!A:L,4,FALSE)</f>
        <v>Puffer Coat</v>
      </c>
      <c r="E115" s="2">
        <f>VLOOKUP(A115,Dataset!A:L,8,FALSE)</f>
        <v>0</v>
      </c>
      <c r="F115" s="6">
        <f>VLOOKUP(A115,Dataset!A:L,12,FALSE)</f>
        <v>-763.23</v>
      </c>
    </row>
    <row r="116" spans="1:6">
      <c r="A116" s="5">
        <v>1114</v>
      </c>
      <c r="B116" s="2" t="str">
        <f>VLOOKUP(A116,Dataset!A:L,2,FALSE)</f>
        <v>Robert Williams</v>
      </c>
      <c r="C116" s="2" t="str">
        <f>VLOOKUP(A116,Dataset!A:L,3,FALSE)</f>
        <v>Dresses</v>
      </c>
      <c r="D116" s="2" t="str">
        <f>VLOOKUP(A116,Dataset!A:L,4,FALSE)</f>
        <v>Bodycon</v>
      </c>
      <c r="E116" s="2">
        <f>VLOOKUP(A116,Dataset!A:L,8,FALSE)</f>
        <v>2729.33</v>
      </c>
      <c r="F116" s="6">
        <f>VLOOKUP(A116,Dataset!A:L,12,FALSE)</f>
        <v>-689.16</v>
      </c>
    </row>
    <row r="117" spans="1:6">
      <c r="A117" s="5">
        <v>1115</v>
      </c>
      <c r="B117" s="2" t="str">
        <f>VLOOKUP(A117,Dataset!A:L,2,FALSE)</f>
        <v>Carolyn Nelson</v>
      </c>
      <c r="C117" s="2" t="str">
        <f>VLOOKUP(A117,Dataset!A:L,3,FALSE)</f>
        <v>Accessories</v>
      </c>
      <c r="D117" s="2" t="str">
        <f>VLOOKUP(A117,Dataset!A:L,4,FALSE)</f>
        <v>Belts</v>
      </c>
      <c r="E117" s="2">
        <f>VLOOKUP(A117,Dataset!A:L,8,FALSE)</f>
        <v>0</v>
      </c>
      <c r="F117" s="6">
        <f>VLOOKUP(A117,Dataset!A:L,12,FALSE)</f>
        <v>-624.26</v>
      </c>
    </row>
    <row r="118" spans="1:6">
      <c r="A118" s="5">
        <v>1116</v>
      </c>
      <c r="B118" s="2" t="str">
        <f>VLOOKUP(A118,Dataset!A:L,2,FALSE)</f>
        <v>Olivia Jones</v>
      </c>
      <c r="C118" s="2" t="str">
        <f>VLOOKUP(A118,Dataset!A:L,3,FALSE)</f>
        <v>Jackets</v>
      </c>
      <c r="D118" s="2" t="str">
        <f>VLOOKUP(A118,Dataset!A:L,4,FALSE)</f>
        <v>Bomber Jacket</v>
      </c>
      <c r="E118" s="2">
        <f>VLOOKUP(A118,Dataset!A:L,8,FALSE)</f>
        <v>0</v>
      </c>
      <c r="F118" s="6">
        <f>VLOOKUP(A118,Dataset!A:L,12,FALSE)</f>
        <v>1733.04</v>
      </c>
    </row>
    <row r="119" spans="1:6">
      <c r="A119" s="5">
        <v>1117</v>
      </c>
      <c r="B119" s="2" t="str">
        <f>VLOOKUP(A119,Dataset!A:L,2,FALSE)</f>
        <v>Molly Johnson</v>
      </c>
      <c r="C119" s="2" t="str">
        <f>VLOOKUP(A119,Dataset!A:L,3,FALSE)</f>
        <v>Jackets</v>
      </c>
      <c r="D119" s="2" t="str">
        <f>VLOOKUP(A119,Dataset!A:L,4,FALSE)</f>
        <v>Puffer Coat</v>
      </c>
      <c r="E119" s="2">
        <f>VLOOKUP(A119,Dataset!A:L,8,FALSE)</f>
        <v>0</v>
      </c>
      <c r="F119" s="6">
        <f>VLOOKUP(A119,Dataset!A:L,12,FALSE)</f>
        <v>-455.6</v>
      </c>
    </row>
    <row r="120" spans="1:6">
      <c r="A120" s="5">
        <v>1118</v>
      </c>
      <c r="B120" s="2" t="str">
        <f>VLOOKUP(A120,Dataset!A:L,2,FALSE)</f>
        <v>Jose Jackson</v>
      </c>
      <c r="C120" s="2" t="str">
        <f>VLOOKUP(A120,Dataset!A:L,3,FALSE)</f>
        <v>Accessories</v>
      </c>
      <c r="D120" s="2" t="str">
        <f>VLOOKUP(A120,Dataset!A:L,4,FALSE)</f>
        <v>Belts</v>
      </c>
      <c r="E120" s="2">
        <f>VLOOKUP(A120,Dataset!A:L,8,FALSE)</f>
        <v>0</v>
      </c>
      <c r="F120" s="6">
        <f>VLOOKUP(A120,Dataset!A:L,12,FALSE)</f>
        <v>1039.53</v>
      </c>
    </row>
    <row r="121" spans="1:6">
      <c r="A121" s="5">
        <v>1119</v>
      </c>
      <c r="B121" s="2" t="str">
        <f>VLOOKUP(A121,Dataset!A:L,2,FALSE)</f>
        <v>Elizabeth Vega</v>
      </c>
      <c r="C121" s="2" t="str">
        <f>VLOOKUP(A121,Dataset!A:L,3,FALSE)</f>
        <v>Jeans</v>
      </c>
      <c r="D121" s="2" t="str">
        <f>VLOOKUP(A121,Dataset!A:L,4,FALSE)</f>
        <v>Ripped Denim</v>
      </c>
      <c r="E121" s="2">
        <f>VLOOKUP(A121,Dataset!A:L,8,FALSE)</f>
        <v>0</v>
      </c>
      <c r="F121" s="6">
        <f>VLOOKUP(A121,Dataset!A:L,12,FALSE)</f>
        <v>142.69</v>
      </c>
    </row>
    <row r="122" spans="1:6">
      <c r="A122" s="5">
        <v>1120</v>
      </c>
      <c r="B122" s="2" t="str">
        <f>VLOOKUP(A122,Dataset!A:L,2,FALSE)</f>
        <v>Angelica Gonzalez</v>
      </c>
      <c r="C122" s="2" t="str">
        <f>VLOOKUP(A122,Dataset!A:L,3,FALSE)</f>
        <v>Jackets</v>
      </c>
      <c r="D122" s="2" t="str">
        <f>VLOOKUP(A122,Dataset!A:L,4,FALSE)</f>
        <v>Puffer Coat</v>
      </c>
      <c r="E122" s="2">
        <f>VLOOKUP(A122,Dataset!A:L,8,FALSE)</f>
        <v>0</v>
      </c>
      <c r="F122" s="6">
        <f>VLOOKUP(A122,Dataset!A:L,12,FALSE)</f>
        <v>828.98</v>
      </c>
    </row>
    <row r="123" spans="1:6">
      <c r="A123" s="5">
        <v>1121</v>
      </c>
      <c r="B123" s="2" t="str">
        <f>VLOOKUP(A123,Dataset!A:L,2,FALSE)</f>
        <v>Henry Parker</v>
      </c>
      <c r="C123" s="2" t="str">
        <f>VLOOKUP(A123,Dataset!A:L,3,FALSE)</f>
        <v>Shoes</v>
      </c>
      <c r="D123" s="2" t="str">
        <f>VLOOKUP(A123,Dataset!A:L,4,FALSE)</f>
        <v>Boots</v>
      </c>
      <c r="E123" s="2">
        <f>VLOOKUP(A123,Dataset!A:L,8,FALSE)</f>
        <v>0</v>
      </c>
      <c r="F123" s="6">
        <f>VLOOKUP(A123,Dataset!A:L,12,FALSE)</f>
        <v>1422.36</v>
      </c>
    </row>
    <row r="124" spans="1:6">
      <c r="A124" s="5">
        <v>1122</v>
      </c>
      <c r="B124" s="2" t="str">
        <f>VLOOKUP(A124,Dataset!A:L,2,FALSE)</f>
        <v>Jennifer Lee</v>
      </c>
      <c r="C124" s="2" t="str">
        <f>VLOOKUP(A124,Dataset!A:L,3,FALSE)</f>
        <v>Jackets</v>
      </c>
      <c r="D124" s="2" t="str">
        <f>VLOOKUP(A124,Dataset!A:L,4,FALSE)</f>
        <v>Bomber Jacket</v>
      </c>
      <c r="E124" s="2">
        <f>VLOOKUP(A124,Dataset!A:L,8,FALSE)</f>
        <v>0</v>
      </c>
      <c r="F124" s="6">
        <f>VLOOKUP(A124,Dataset!A:L,12,FALSE)</f>
        <v>2658.02</v>
      </c>
    </row>
    <row r="125" spans="1:6">
      <c r="A125" s="5">
        <v>1123</v>
      </c>
      <c r="B125" s="2" t="str">
        <f>VLOOKUP(A125,Dataset!A:L,2,FALSE)</f>
        <v>Michael Clarke</v>
      </c>
      <c r="C125" s="2" t="str">
        <f>VLOOKUP(A125,Dataset!A:L,3,FALSE)</f>
        <v>Accessories</v>
      </c>
      <c r="D125" s="2" t="str">
        <f>VLOOKUP(A125,Dataset!A:L,4,FALSE)</f>
        <v>Caps</v>
      </c>
      <c r="E125" s="2">
        <f>VLOOKUP(A125,Dataset!A:L,8,FALSE)</f>
        <v>0</v>
      </c>
      <c r="F125" s="6">
        <f>VLOOKUP(A125,Dataset!A:L,12,FALSE)</f>
        <v>1494.78</v>
      </c>
    </row>
    <row r="126" spans="1:6">
      <c r="A126" s="5">
        <v>1002</v>
      </c>
      <c r="B126" s="2" t="str">
        <f>VLOOKUP(A126,Dataset!A:L,2,FALSE)</f>
        <v>Sarah Snyder</v>
      </c>
      <c r="C126" s="2" t="str">
        <f>VLOOKUP(A126,Dataset!A:L,3,FALSE)</f>
        <v>Jackets</v>
      </c>
      <c r="D126" s="2" t="str">
        <f>VLOOKUP(A126,Dataset!A:L,4,FALSE)</f>
        <v>Puffer Coat</v>
      </c>
      <c r="E126" s="2">
        <f>VLOOKUP(A126,Dataset!A:L,8,FALSE)</f>
        <v>0</v>
      </c>
      <c r="F126" s="6">
        <f>VLOOKUP(A126,Dataset!A:L,12,FALSE)</f>
        <v>-158.03</v>
      </c>
    </row>
    <row r="127" spans="1:6">
      <c r="A127" s="5">
        <v>1125</v>
      </c>
      <c r="B127" s="2" t="str">
        <f>VLOOKUP(A127,Dataset!A:L,2,FALSE)</f>
        <v>Jason Turner</v>
      </c>
      <c r="C127" s="2" t="str">
        <f>VLOOKUP(A127,Dataset!A:L,3,FALSE)</f>
        <v>Shoes</v>
      </c>
      <c r="D127" s="2" t="str">
        <f>VLOOKUP(A127,Dataset!A:L,4,FALSE)</f>
        <v>Boots</v>
      </c>
      <c r="E127" s="2">
        <f>VLOOKUP(A127,Dataset!A:L,8,FALSE)</f>
        <v>0</v>
      </c>
      <c r="F127" s="6">
        <f>VLOOKUP(A127,Dataset!A:L,12,FALSE)</f>
        <v>-754.58</v>
      </c>
    </row>
    <row r="128" spans="1:6">
      <c r="A128" s="5">
        <v>1126</v>
      </c>
      <c r="B128" s="2" t="str">
        <f>VLOOKUP(A128,Dataset!A:L,2,FALSE)</f>
        <v>Grant Munoz</v>
      </c>
      <c r="C128" s="2" t="str">
        <f>VLOOKUP(A128,Dataset!A:L,3,FALSE)</f>
        <v>Jeans</v>
      </c>
      <c r="D128" s="2" t="str">
        <f>VLOOKUP(A128,Dataset!A:L,4,FALSE)</f>
        <v>Boyfriend Jeans</v>
      </c>
      <c r="E128" s="2">
        <f>VLOOKUP(A128,Dataset!A:L,8,FALSE)</f>
        <v>0</v>
      </c>
      <c r="F128" s="6">
        <f>VLOOKUP(A128,Dataset!A:L,12,FALSE)</f>
        <v>1820.2</v>
      </c>
    </row>
    <row r="129" spans="1:6">
      <c r="A129" s="5">
        <v>1127</v>
      </c>
      <c r="B129" s="2" t="str">
        <f>VLOOKUP(A129,Dataset!A:L,2,FALSE)</f>
        <v>Rhonda Ray</v>
      </c>
      <c r="C129" s="2" t="str">
        <f>VLOOKUP(A129,Dataset!A:L,3,FALSE)</f>
        <v>Dresses</v>
      </c>
      <c r="D129" s="2" t="str">
        <f>VLOOKUP(A129,Dataset!A:L,4,FALSE)</f>
        <v>Bodycon</v>
      </c>
      <c r="E129" s="2">
        <f>VLOOKUP(A129,Dataset!A:L,8,FALSE)</f>
        <v>13513.2</v>
      </c>
      <c r="F129" s="6">
        <f>VLOOKUP(A129,Dataset!A:L,12,FALSE)</f>
        <v>2881.91</v>
      </c>
    </row>
    <row r="130" spans="1:6">
      <c r="A130" s="5">
        <v>1128</v>
      </c>
      <c r="B130" s="2" t="str">
        <f>VLOOKUP(A130,Dataset!A:L,2,FALSE)</f>
        <v>Susan Anderson</v>
      </c>
      <c r="C130" s="2" t="str">
        <f>VLOOKUP(A130,Dataset!A:L,3,FALSE)</f>
        <v>T-Shirts</v>
      </c>
      <c r="D130" s="2" t="str">
        <f>VLOOKUP(A130,Dataset!A:L,4,FALSE)</f>
        <v>Oversized T-shirt</v>
      </c>
      <c r="E130" s="2">
        <f>VLOOKUP(A130,Dataset!A:L,8,FALSE)</f>
        <v>0</v>
      </c>
      <c r="F130" s="6">
        <f>VLOOKUP(A130,Dataset!A:L,12,FALSE)</f>
        <v>-68.489999999999995</v>
      </c>
    </row>
    <row r="131" spans="1:6">
      <c r="A131" s="5">
        <v>1129</v>
      </c>
      <c r="B131" s="2" t="str">
        <f>VLOOKUP(A131,Dataset!A:L,2,FALSE)</f>
        <v>Miranda Thomas</v>
      </c>
      <c r="C131" s="2" t="str">
        <f>VLOOKUP(A131,Dataset!A:L,3,FALSE)</f>
        <v>Jeans</v>
      </c>
      <c r="D131" s="2" t="str">
        <f>VLOOKUP(A131,Dataset!A:L,4,FALSE)</f>
        <v>Boyfriend Jeans</v>
      </c>
      <c r="E131" s="2">
        <f>VLOOKUP(A131,Dataset!A:L,8,FALSE)</f>
        <v>-3715.03</v>
      </c>
      <c r="F131" s="6">
        <f>VLOOKUP(A131,Dataset!A:L,12,FALSE)</f>
        <v>-668.36</v>
      </c>
    </row>
    <row r="132" spans="1:6">
      <c r="A132" s="5">
        <v>1130</v>
      </c>
      <c r="B132" s="2" t="str">
        <f>VLOOKUP(A132,Dataset!A:L,2,FALSE)</f>
        <v>Samuel Miller</v>
      </c>
      <c r="C132" s="2" t="str">
        <f>VLOOKUP(A132,Dataset!A:L,3,FALSE)</f>
        <v>Accessories</v>
      </c>
      <c r="D132" s="2" t="str">
        <f>VLOOKUP(A132,Dataset!A:L,4,FALSE)</f>
        <v>Sunglasses</v>
      </c>
      <c r="E132" s="2">
        <f>VLOOKUP(A132,Dataset!A:L,8,FALSE)</f>
        <v>0</v>
      </c>
      <c r="F132" s="6">
        <f>VLOOKUP(A132,Dataset!A:L,12,FALSE)</f>
        <v>2782.45</v>
      </c>
    </row>
    <row r="133" spans="1:6">
      <c r="A133" s="5">
        <v>1131</v>
      </c>
      <c r="B133" s="2" t="str">
        <f>VLOOKUP(A133,Dataset!A:L,2,FALSE)</f>
        <v>Grace Chavez</v>
      </c>
      <c r="C133" s="2" t="str">
        <f>VLOOKUP(A133,Dataset!A:L,3,FALSE)</f>
        <v>T-Shirts</v>
      </c>
      <c r="D133" s="2" t="str">
        <f>VLOOKUP(A133,Dataset!A:L,4,FALSE)</f>
        <v>Classic Tee</v>
      </c>
      <c r="E133" s="2">
        <f>VLOOKUP(A133,Dataset!A:L,8,FALSE)</f>
        <v>0</v>
      </c>
      <c r="F133" s="6">
        <f>VLOOKUP(A133,Dataset!A:L,12,FALSE)</f>
        <v>-941.56</v>
      </c>
    </row>
    <row r="134" spans="1:6">
      <c r="A134" s="5">
        <v>1132</v>
      </c>
      <c r="B134" s="2" t="str">
        <f>VLOOKUP(A134,Dataset!A:L,2,FALSE)</f>
        <v>Andrew Carlson</v>
      </c>
      <c r="C134" s="2" t="str">
        <f>VLOOKUP(A134,Dataset!A:L,3,FALSE)</f>
        <v>Jackets</v>
      </c>
      <c r="D134" s="2" t="str">
        <f>VLOOKUP(A134,Dataset!A:L,4,FALSE)</f>
        <v>Bomber Jacket</v>
      </c>
      <c r="E134" s="2">
        <f>VLOOKUP(A134,Dataset!A:L,8,FALSE)</f>
        <v>0</v>
      </c>
      <c r="F134" s="6">
        <f>VLOOKUP(A134,Dataset!A:L,12,FALSE)</f>
        <v>2043.57</v>
      </c>
    </row>
    <row r="135" spans="1:6">
      <c r="A135" s="5">
        <v>1133</v>
      </c>
      <c r="B135" s="2" t="str">
        <f>VLOOKUP(A135,Dataset!A:L,2,FALSE)</f>
        <v>Erin Williams</v>
      </c>
      <c r="C135" s="2" t="str">
        <f>VLOOKUP(A135,Dataset!A:L,3,FALSE)</f>
        <v>Dresses</v>
      </c>
      <c r="D135" s="2" t="str">
        <f>VLOOKUP(A135,Dataset!A:L,4,FALSE)</f>
        <v>Casual Midi</v>
      </c>
      <c r="E135" s="2">
        <f>VLOOKUP(A135,Dataset!A:L,8,FALSE)</f>
        <v>0</v>
      </c>
      <c r="F135" s="6">
        <f>VLOOKUP(A135,Dataset!A:L,12,FALSE)</f>
        <v>806.19</v>
      </c>
    </row>
    <row r="136" spans="1:6">
      <c r="A136" s="5">
        <v>1134</v>
      </c>
      <c r="B136" s="2" t="str">
        <f>VLOOKUP(A136,Dataset!A:L,2,FALSE)</f>
        <v>Melissa Jenkins</v>
      </c>
      <c r="C136" s="2" t="str">
        <f>VLOOKUP(A136,Dataset!A:L,3,FALSE)</f>
        <v>Dresses</v>
      </c>
      <c r="D136" s="2" t="str">
        <f>VLOOKUP(A136,Dataset!A:L,4,FALSE)</f>
        <v>Wrap Dress</v>
      </c>
      <c r="E136" s="2">
        <f>VLOOKUP(A136,Dataset!A:L,8,FALSE)</f>
        <v>0</v>
      </c>
      <c r="F136" s="6">
        <f>VLOOKUP(A136,Dataset!A:L,12,FALSE)</f>
        <v>1101.19</v>
      </c>
    </row>
    <row r="137" spans="1:6">
      <c r="A137" s="5">
        <v>1135</v>
      </c>
      <c r="B137" s="2" t="str">
        <f>VLOOKUP(A137,Dataset!A:L,2,FALSE)</f>
        <v>Ronald Ballard</v>
      </c>
      <c r="C137" s="2" t="str">
        <f>VLOOKUP(A137,Dataset!A:L,3,FALSE)</f>
        <v>Shoes</v>
      </c>
      <c r="D137" s="2" t="str">
        <f>VLOOKUP(A137,Dataset!A:L,4,FALSE)</f>
        <v>Sneakers</v>
      </c>
      <c r="E137" s="2">
        <f>VLOOKUP(A137,Dataset!A:L,8,FALSE)</f>
        <v>996.45</v>
      </c>
      <c r="F137" s="6">
        <f>VLOOKUP(A137,Dataset!A:L,12,FALSE)</f>
        <v>1432.84</v>
      </c>
    </row>
    <row r="138" spans="1:6">
      <c r="A138" s="5">
        <v>1136</v>
      </c>
      <c r="B138" s="2" t="str">
        <f>VLOOKUP(A138,Dataset!A:L,2,FALSE)</f>
        <v>Danielle Johnson</v>
      </c>
      <c r="C138" s="2" t="str">
        <f>VLOOKUP(A138,Dataset!A:L,3,FALSE)</f>
        <v>Jeans</v>
      </c>
      <c r="D138" s="2" t="str">
        <f>VLOOKUP(A138,Dataset!A:L,4,FALSE)</f>
        <v>Straight Cut</v>
      </c>
      <c r="E138" s="2">
        <f>VLOOKUP(A138,Dataset!A:L,8,FALSE)</f>
        <v>0</v>
      </c>
      <c r="F138" s="6">
        <f>VLOOKUP(A138,Dataset!A:L,12,FALSE)</f>
        <v>1897.33</v>
      </c>
    </row>
    <row r="139" spans="1:6">
      <c r="A139" s="5">
        <v>1137</v>
      </c>
      <c r="B139" s="2" t="str">
        <f>VLOOKUP(A139,Dataset!A:L,2,FALSE)</f>
        <v>Jason Moore</v>
      </c>
      <c r="C139" s="2" t="str">
        <f>VLOOKUP(A139,Dataset!A:L,3,FALSE)</f>
        <v>Shoes</v>
      </c>
      <c r="D139" s="2" t="str">
        <f>VLOOKUP(A139,Dataset!A:L,4,FALSE)</f>
        <v>Sneakers</v>
      </c>
      <c r="E139" s="2">
        <f>VLOOKUP(A139,Dataset!A:L,8,FALSE)</f>
        <v>0</v>
      </c>
      <c r="F139" s="6">
        <f>VLOOKUP(A139,Dataset!A:L,12,FALSE)</f>
        <v>1161.76</v>
      </c>
    </row>
    <row r="140" spans="1:6">
      <c r="A140" s="5">
        <v>1138</v>
      </c>
      <c r="B140" s="2" t="str">
        <f>VLOOKUP(A140,Dataset!A:L,2,FALSE)</f>
        <v>Thomas Freeman</v>
      </c>
      <c r="C140" s="2" t="str">
        <f>VLOOKUP(A140,Dataset!A:L,3,FALSE)</f>
        <v>Dresses</v>
      </c>
      <c r="D140" s="2" t="str">
        <f>VLOOKUP(A140,Dataset!A:L,4,FALSE)</f>
        <v>Bodycon</v>
      </c>
      <c r="E140" s="2">
        <f>VLOOKUP(A140,Dataset!A:L,8,FALSE)</f>
        <v>0</v>
      </c>
      <c r="F140" s="6">
        <f>VLOOKUP(A140,Dataset!A:L,12,FALSE)</f>
        <v>-658.58</v>
      </c>
    </row>
    <row r="141" spans="1:6">
      <c r="A141" s="5">
        <v>1139</v>
      </c>
      <c r="B141" s="2" t="str">
        <f>VLOOKUP(A141,Dataset!A:L,2,FALSE)</f>
        <v>Katherine Reyes</v>
      </c>
      <c r="C141" s="2" t="str">
        <f>VLOOKUP(A141,Dataset!A:L,3,FALSE)</f>
        <v>T-Shirts</v>
      </c>
      <c r="D141" s="2" t="str">
        <f>VLOOKUP(A141,Dataset!A:L,4,FALSE)</f>
        <v>Graphic Tee</v>
      </c>
      <c r="E141" s="2">
        <f>VLOOKUP(A141,Dataset!A:L,8,FALSE)</f>
        <v>0</v>
      </c>
      <c r="F141" s="6">
        <f>VLOOKUP(A141,Dataset!A:L,12,FALSE)</f>
        <v>-832.45</v>
      </c>
    </row>
    <row r="142" spans="1:6">
      <c r="A142" s="5">
        <v>1140</v>
      </c>
      <c r="B142" s="2" t="str">
        <f>VLOOKUP(A142,Dataset!A:L,2,FALSE)</f>
        <v>Dawn Smith</v>
      </c>
      <c r="C142" s="2" t="str">
        <f>VLOOKUP(A142,Dataset!A:L,3,FALSE)</f>
        <v>Accessories</v>
      </c>
      <c r="D142" s="2" t="str">
        <f>VLOOKUP(A142,Dataset!A:L,4,FALSE)</f>
        <v>Belts</v>
      </c>
      <c r="E142" s="2">
        <f>VLOOKUP(A142,Dataset!A:L,8,FALSE)</f>
        <v>0</v>
      </c>
      <c r="F142" s="6">
        <f>VLOOKUP(A142,Dataset!A:L,12,FALSE)</f>
        <v>-127.91</v>
      </c>
    </row>
    <row r="143" spans="1:6">
      <c r="A143" s="5">
        <v>1141</v>
      </c>
      <c r="B143" s="2" t="str">
        <f>VLOOKUP(A143,Dataset!A:L,2,FALSE)</f>
        <v>Sarah Pacheco</v>
      </c>
      <c r="C143" s="2" t="str">
        <f>VLOOKUP(A143,Dataset!A:L,3,FALSE)</f>
        <v>T-Shirts</v>
      </c>
      <c r="D143" s="2" t="str">
        <f>VLOOKUP(A143,Dataset!A:L,4,FALSE)</f>
        <v>Graphic Tee</v>
      </c>
      <c r="E143" s="2">
        <f>VLOOKUP(A143,Dataset!A:L,8,FALSE)</f>
        <v>0</v>
      </c>
      <c r="F143" s="6">
        <f>VLOOKUP(A143,Dataset!A:L,12,FALSE)</f>
        <v>429.67</v>
      </c>
    </row>
    <row r="144" spans="1:6">
      <c r="A144" s="5">
        <v>1142</v>
      </c>
      <c r="B144" s="2" t="str">
        <f>VLOOKUP(A144,Dataset!A:L,2,FALSE)</f>
        <v>Daniel Alvarez</v>
      </c>
      <c r="C144" s="2" t="str">
        <f>VLOOKUP(A144,Dataset!A:L,3,FALSE)</f>
        <v>Dresses</v>
      </c>
      <c r="D144" s="2" t="str">
        <f>VLOOKUP(A144,Dataset!A:L,4,FALSE)</f>
        <v>Bodycon</v>
      </c>
      <c r="E144" s="2">
        <f>VLOOKUP(A144,Dataset!A:L,8,FALSE)</f>
        <v>0</v>
      </c>
      <c r="F144" s="6">
        <f>VLOOKUP(A144,Dataset!A:L,12,FALSE)</f>
        <v>-509.67</v>
      </c>
    </row>
    <row r="145" spans="1:6">
      <c r="A145" s="5">
        <v>1143</v>
      </c>
      <c r="B145" s="2" t="str">
        <f>VLOOKUP(A145,Dataset!A:L,2,FALSE)</f>
        <v>Bernard Ramirez</v>
      </c>
      <c r="C145" s="2" t="str">
        <f>VLOOKUP(A145,Dataset!A:L,3,FALSE)</f>
        <v>Jackets</v>
      </c>
      <c r="D145" s="2" t="str">
        <f>VLOOKUP(A145,Dataset!A:L,4,FALSE)</f>
        <v>Denim Jacket</v>
      </c>
      <c r="E145" s="2">
        <f>VLOOKUP(A145,Dataset!A:L,8,FALSE)</f>
        <v>0</v>
      </c>
      <c r="F145" s="6">
        <f>VLOOKUP(A145,Dataset!A:L,12,FALSE)</f>
        <v>816.49</v>
      </c>
    </row>
    <row r="146" spans="1:6">
      <c r="A146" s="5">
        <v>1144</v>
      </c>
      <c r="B146" s="2" t="str">
        <f>VLOOKUP(A146,Dataset!A:L,2,FALSE)</f>
        <v>Mrs. Julia Ramirez</v>
      </c>
      <c r="C146" s="2" t="str">
        <f>VLOOKUP(A146,Dataset!A:L,3,FALSE)</f>
        <v>Jeans</v>
      </c>
      <c r="D146" s="2" t="str">
        <f>VLOOKUP(A146,Dataset!A:L,4,FALSE)</f>
        <v>Slim Fit Jeans</v>
      </c>
      <c r="E146" s="2">
        <f>VLOOKUP(A146,Dataset!A:L,8,FALSE)</f>
        <v>0</v>
      </c>
      <c r="F146" s="6">
        <f>VLOOKUP(A146,Dataset!A:L,12,FALSE)</f>
        <v>2966.21</v>
      </c>
    </row>
    <row r="147" spans="1:6">
      <c r="A147" s="5">
        <v>1145</v>
      </c>
      <c r="B147" s="2" t="str">
        <f>VLOOKUP(A147,Dataset!A:L,2,FALSE)</f>
        <v>Jorge Anderson</v>
      </c>
      <c r="C147" s="2" t="str">
        <f>VLOOKUP(A147,Dataset!A:L,3,FALSE)</f>
        <v>T-Shirts</v>
      </c>
      <c r="D147" s="2" t="str">
        <f>VLOOKUP(A147,Dataset!A:L,4,FALSE)</f>
        <v>Graphic Tee</v>
      </c>
      <c r="E147" s="2">
        <f>VLOOKUP(A147,Dataset!A:L,8,FALSE)</f>
        <v>-432.95</v>
      </c>
      <c r="F147" s="6">
        <f>VLOOKUP(A147,Dataset!A:L,12,FALSE)</f>
        <v>-171.58</v>
      </c>
    </row>
    <row r="148" spans="1:6">
      <c r="A148" s="5">
        <v>1146</v>
      </c>
      <c r="B148" s="2" t="str">
        <f>VLOOKUP(A148,Dataset!A:L,2,FALSE)</f>
        <v>Jacqueline Jenkins</v>
      </c>
      <c r="C148" s="2" t="str">
        <f>VLOOKUP(A148,Dataset!A:L,3,FALSE)</f>
        <v>Accessories</v>
      </c>
      <c r="D148" s="2" t="str">
        <f>VLOOKUP(A148,Dataset!A:L,4,FALSE)</f>
        <v>Belts</v>
      </c>
      <c r="E148" s="2">
        <f>VLOOKUP(A148,Dataset!A:L,8,FALSE)</f>
        <v>0</v>
      </c>
      <c r="F148" s="6">
        <f>VLOOKUP(A148,Dataset!A:L,12,FALSE)</f>
        <v>-431.7</v>
      </c>
    </row>
    <row r="149" spans="1:6">
      <c r="A149" s="5">
        <v>1147</v>
      </c>
      <c r="B149" s="2" t="str">
        <f>VLOOKUP(A149,Dataset!A:L,2,FALSE)</f>
        <v>Tracy Miller</v>
      </c>
      <c r="C149" s="2" t="str">
        <f>VLOOKUP(A149,Dataset!A:L,3,FALSE)</f>
        <v>Dresses</v>
      </c>
      <c r="D149" s="2" t="str">
        <f>VLOOKUP(A149,Dataset!A:L,4,FALSE)</f>
        <v>Casual Midi</v>
      </c>
      <c r="E149" s="2">
        <f>VLOOKUP(A149,Dataset!A:L,8,FALSE)</f>
        <v>0</v>
      </c>
      <c r="F149" s="6">
        <f>VLOOKUP(A149,Dataset!A:L,12,FALSE)</f>
        <v>-794.99</v>
      </c>
    </row>
    <row r="150" spans="1:6">
      <c r="A150" s="5">
        <v>1148</v>
      </c>
      <c r="B150" s="2" t="str">
        <f>VLOOKUP(A150,Dataset!A:L,2,FALSE)</f>
        <v>Travis Lopez</v>
      </c>
      <c r="C150" s="2" t="str">
        <f>VLOOKUP(A150,Dataset!A:L,3,FALSE)</f>
        <v>Accessories</v>
      </c>
      <c r="D150" s="2" t="str">
        <f>VLOOKUP(A150,Dataset!A:L,4,FALSE)</f>
        <v>Belts</v>
      </c>
      <c r="E150" s="2">
        <f>VLOOKUP(A150,Dataset!A:L,8,FALSE)</f>
        <v>0</v>
      </c>
      <c r="F150" s="6">
        <f>VLOOKUP(A150,Dataset!A:L,12,FALSE)</f>
        <v>2247.9</v>
      </c>
    </row>
    <row r="151" spans="1:6">
      <c r="A151" s="5">
        <v>1149</v>
      </c>
      <c r="B151" s="2" t="str">
        <f>VLOOKUP(A151,Dataset!A:L,2,FALSE)</f>
        <v>Steven Ortiz</v>
      </c>
      <c r="C151" s="2" t="str">
        <f>VLOOKUP(A151,Dataset!A:L,3,FALSE)</f>
        <v>Dresses</v>
      </c>
      <c r="D151" s="2" t="str">
        <f>VLOOKUP(A151,Dataset!A:L,4,FALSE)</f>
        <v>Bodycon</v>
      </c>
      <c r="E151" s="2">
        <f>VLOOKUP(A151,Dataset!A:L,8,FALSE)</f>
        <v>0</v>
      </c>
      <c r="F151" s="6">
        <f>VLOOKUP(A151,Dataset!A:L,12,FALSE)</f>
        <v>562.69000000000005</v>
      </c>
    </row>
    <row r="152" spans="1:6">
      <c r="A152" s="5">
        <v>1150</v>
      </c>
      <c r="B152" s="2" t="str">
        <f>VLOOKUP(A152,Dataset!A:L,2,FALSE)</f>
        <v>Brittany Robinson</v>
      </c>
      <c r="C152" s="2" t="str">
        <f>VLOOKUP(A152,Dataset!A:L,3,FALSE)</f>
        <v>Accessories</v>
      </c>
      <c r="D152" s="2" t="str">
        <f>VLOOKUP(A152,Dataset!A:L,4,FALSE)</f>
        <v>Sunglasses</v>
      </c>
      <c r="E152" s="2">
        <f>VLOOKUP(A152,Dataset!A:L,8,FALSE)</f>
        <v>0</v>
      </c>
      <c r="F152" s="6">
        <f>VLOOKUP(A152,Dataset!A:L,12,FALSE)</f>
        <v>457.65</v>
      </c>
    </row>
    <row r="153" spans="1:6">
      <c r="A153" s="5">
        <v>1151</v>
      </c>
      <c r="B153" s="2" t="str">
        <f>VLOOKUP(A153,Dataset!A:L,2,FALSE)</f>
        <v>Joseph Allen</v>
      </c>
      <c r="C153" s="2" t="str">
        <f>VLOOKUP(A153,Dataset!A:L,3,FALSE)</f>
        <v>Jeans</v>
      </c>
      <c r="D153" s="2" t="str">
        <f>VLOOKUP(A153,Dataset!A:L,4,FALSE)</f>
        <v>Straight Cut</v>
      </c>
      <c r="E153" s="2">
        <f>VLOOKUP(A153,Dataset!A:L,8,FALSE)</f>
        <v>6074.06</v>
      </c>
      <c r="F153" s="6">
        <f>VLOOKUP(A153,Dataset!A:L,12,FALSE)</f>
        <v>-655.45</v>
      </c>
    </row>
    <row r="154" spans="1:6">
      <c r="A154" s="5">
        <v>1152</v>
      </c>
      <c r="B154" s="2" t="str">
        <f>VLOOKUP(A154,Dataset!A:L,2,FALSE)</f>
        <v>Matthew Deleon</v>
      </c>
      <c r="C154" s="2" t="str">
        <f>VLOOKUP(A154,Dataset!A:L,3,FALSE)</f>
        <v>Shoes</v>
      </c>
      <c r="D154" s="2" t="str">
        <f>VLOOKUP(A154,Dataset!A:L,4,FALSE)</f>
        <v>Slip-ons</v>
      </c>
      <c r="E154" s="2">
        <f>VLOOKUP(A154,Dataset!A:L,8,FALSE)</f>
        <v>0</v>
      </c>
      <c r="F154" s="6">
        <f>VLOOKUP(A154,Dataset!A:L,12,FALSE)</f>
        <v>454.45</v>
      </c>
    </row>
    <row r="155" spans="1:6">
      <c r="A155" s="5">
        <v>1153</v>
      </c>
      <c r="B155" s="2" t="str">
        <f>VLOOKUP(A155,Dataset!A:L,2,FALSE)</f>
        <v>Julia Evans</v>
      </c>
      <c r="C155" s="2" t="str">
        <f>VLOOKUP(A155,Dataset!A:L,3,FALSE)</f>
        <v>Accessories</v>
      </c>
      <c r="D155" s="2" t="str">
        <f>VLOOKUP(A155,Dataset!A:L,4,FALSE)</f>
        <v>Belts</v>
      </c>
      <c r="E155" s="2">
        <f>VLOOKUP(A155,Dataset!A:L,8,FALSE)</f>
        <v>0</v>
      </c>
      <c r="F155" s="6">
        <f>VLOOKUP(A155,Dataset!A:L,12,FALSE)</f>
        <v>-681.2</v>
      </c>
    </row>
    <row r="156" spans="1:6">
      <c r="A156" s="5">
        <v>1154</v>
      </c>
      <c r="B156" s="2" t="str">
        <f>VLOOKUP(A156,Dataset!A:L,2,FALSE)</f>
        <v>Robert Parks</v>
      </c>
      <c r="C156" s="2" t="str">
        <f>VLOOKUP(A156,Dataset!A:L,3,FALSE)</f>
        <v>Accessories</v>
      </c>
      <c r="D156" s="2" t="str">
        <f>VLOOKUP(A156,Dataset!A:L,4,FALSE)</f>
        <v>Watches</v>
      </c>
      <c r="E156" s="2">
        <f>VLOOKUP(A156,Dataset!A:L,8,FALSE)</f>
        <v>0</v>
      </c>
      <c r="F156" s="6">
        <f>VLOOKUP(A156,Dataset!A:L,12,FALSE)</f>
        <v>52.85</v>
      </c>
    </row>
    <row r="157" spans="1:6">
      <c r="A157" s="5">
        <v>1155</v>
      </c>
      <c r="B157" s="2" t="str">
        <f>VLOOKUP(A157,Dataset!A:L,2,FALSE)</f>
        <v>Sean Small</v>
      </c>
      <c r="C157" s="2" t="str">
        <f>VLOOKUP(A157,Dataset!A:L,3,FALSE)</f>
        <v>Shoes</v>
      </c>
      <c r="D157" s="2" t="str">
        <f>VLOOKUP(A157,Dataset!A:L,4,FALSE)</f>
        <v>Slip-ons</v>
      </c>
      <c r="E157" s="2">
        <f>VLOOKUP(A157,Dataset!A:L,8,FALSE)</f>
        <v>0</v>
      </c>
      <c r="F157" s="6">
        <f>VLOOKUP(A157,Dataset!A:L,12,FALSE)</f>
        <v>2493.12</v>
      </c>
    </row>
    <row r="158" spans="1:6">
      <c r="A158" s="5">
        <v>1156</v>
      </c>
      <c r="B158" s="2" t="str">
        <f>VLOOKUP(A158,Dataset!A:L,2,FALSE)</f>
        <v>Jacob Moore</v>
      </c>
      <c r="C158" s="2" t="str">
        <f>VLOOKUP(A158,Dataset!A:L,3,FALSE)</f>
        <v>Dresses</v>
      </c>
      <c r="D158" s="2" t="str">
        <f>VLOOKUP(A158,Dataset!A:L,4,FALSE)</f>
        <v>Wrap Dress</v>
      </c>
      <c r="E158" s="2">
        <f>VLOOKUP(A158,Dataset!A:L,8,FALSE)</f>
        <v>0</v>
      </c>
      <c r="F158" s="6">
        <f>VLOOKUP(A158,Dataset!A:L,12,FALSE)</f>
        <v>1699.17</v>
      </c>
    </row>
    <row r="159" spans="1:6">
      <c r="A159" s="5">
        <v>1157</v>
      </c>
      <c r="B159" s="2" t="str">
        <f>VLOOKUP(A159,Dataset!A:L,2,FALSE)</f>
        <v>Dean Allen</v>
      </c>
      <c r="C159" s="2" t="str">
        <f>VLOOKUP(A159,Dataset!A:L,3,FALSE)</f>
        <v>Jeans</v>
      </c>
      <c r="D159" s="2" t="str">
        <f>VLOOKUP(A159,Dataset!A:L,4,FALSE)</f>
        <v>Ripped Denim</v>
      </c>
      <c r="E159" s="2">
        <f>VLOOKUP(A159,Dataset!A:L,8,FALSE)</f>
        <v>0</v>
      </c>
      <c r="F159" s="6">
        <f>VLOOKUP(A159,Dataset!A:L,12,FALSE)</f>
        <v>2724.92</v>
      </c>
    </row>
    <row r="160" spans="1:6">
      <c r="A160" s="5">
        <v>1158</v>
      </c>
      <c r="B160" s="2" t="str">
        <f>VLOOKUP(A160,Dataset!A:L,2,FALSE)</f>
        <v>Vicki Jackson</v>
      </c>
      <c r="C160" s="2" t="str">
        <f>VLOOKUP(A160,Dataset!A:L,3,FALSE)</f>
        <v>Dresses</v>
      </c>
      <c r="D160" s="2" t="str">
        <f>VLOOKUP(A160,Dataset!A:L,4,FALSE)</f>
        <v>Wrap Dress</v>
      </c>
      <c r="E160" s="2">
        <f>VLOOKUP(A160,Dataset!A:L,8,FALSE)</f>
        <v>0</v>
      </c>
      <c r="F160" s="6">
        <f>VLOOKUP(A160,Dataset!A:L,12,FALSE)</f>
        <v>2164.9499999999998</v>
      </c>
    </row>
    <row r="161" spans="1:6">
      <c r="A161" s="5">
        <v>1159</v>
      </c>
      <c r="B161" s="2" t="str">
        <f>VLOOKUP(A161,Dataset!A:L,2,FALSE)</f>
        <v>Robert Knox</v>
      </c>
      <c r="C161" s="2" t="str">
        <f>VLOOKUP(A161,Dataset!A:L,3,FALSE)</f>
        <v>Shoes</v>
      </c>
      <c r="D161" s="2" t="str">
        <f>VLOOKUP(A161,Dataset!A:L,4,FALSE)</f>
        <v>Sneakers</v>
      </c>
      <c r="E161" s="2">
        <f>VLOOKUP(A161,Dataset!A:L,8,FALSE)</f>
        <v>0</v>
      </c>
      <c r="F161" s="6">
        <f>VLOOKUP(A161,Dataset!A:L,12,FALSE)</f>
        <v>235.11</v>
      </c>
    </row>
    <row r="162" spans="1:6">
      <c r="A162" s="5">
        <v>1160</v>
      </c>
      <c r="B162" s="2" t="str">
        <f>VLOOKUP(A162,Dataset!A:L,2,FALSE)</f>
        <v>Ruben Oconnell</v>
      </c>
      <c r="C162" s="2" t="str">
        <f>VLOOKUP(A162,Dataset!A:L,3,FALSE)</f>
        <v>Dresses</v>
      </c>
      <c r="D162" s="2" t="str">
        <f>VLOOKUP(A162,Dataset!A:L,4,FALSE)</f>
        <v>Casual Midi</v>
      </c>
      <c r="E162" s="2">
        <f>VLOOKUP(A162,Dataset!A:L,8,FALSE)</f>
        <v>0</v>
      </c>
      <c r="F162" s="6">
        <f>VLOOKUP(A162,Dataset!A:L,12,FALSE)</f>
        <v>-711.19</v>
      </c>
    </row>
    <row r="163" spans="1:6">
      <c r="A163" s="5">
        <v>1161</v>
      </c>
      <c r="B163" s="2" t="str">
        <f>VLOOKUP(A163,Dataset!A:L,2,FALSE)</f>
        <v>Laura Gallegos</v>
      </c>
      <c r="C163" s="2" t="str">
        <f>VLOOKUP(A163,Dataset!A:L,3,FALSE)</f>
        <v>T-Shirts</v>
      </c>
      <c r="D163" s="2" t="str">
        <f>VLOOKUP(A163,Dataset!A:L,4,FALSE)</f>
        <v>Classic Tee</v>
      </c>
      <c r="E163" s="2">
        <f>VLOOKUP(A163,Dataset!A:L,8,FALSE)</f>
        <v>0</v>
      </c>
      <c r="F163" s="6">
        <f>VLOOKUP(A163,Dataset!A:L,12,FALSE)</f>
        <v>502.86</v>
      </c>
    </row>
    <row r="164" spans="1:6">
      <c r="A164" s="5">
        <v>1162</v>
      </c>
      <c r="B164" s="2" t="str">
        <f>VLOOKUP(A164,Dataset!A:L,2,FALSE)</f>
        <v>Christopher Harvey</v>
      </c>
      <c r="C164" s="2" t="str">
        <f>VLOOKUP(A164,Dataset!A:L,3,FALSE)</f>
        <v>Shoes</v>
      </c>
      <c r="D164" s="2" t="str">
        <f>VLOOKUP(A164,Dataset!A:L,4,FALSE)</f>
        <v>Boots</v>
      </c>
      <c r="E164" s="2">
        <f>VLOOKUP(A164,Dataset!A:L,8,FALSE)</f>
        <v>0</v>
      </c>
      <c r="F164" s="6">
        <f>VLOOKUP(A164,Dataset!A:L,12,FALSE)</f>
        <v>2566.0500000000002</v>
      </c>
    </row>
    <row r="165" spans="1:6">
      <c r="A165" s="5">
        <v>1163</v>
      </c>
      <c r="B165" s="2" t="str">
        <f>VLOOKUP(A165,Dataset!A:L,2,FALSE)</f>
        <v>Scott Hampton</v>
      </c>
      <c r="C165" s="2" t="str">
        <f>VLOOKUP(A165,Dataset!A:L,3,FALSE)</f>
        <v>Accessories</v>
      </c>
      <c r="D165" s="2" t="str">
        <f>VLOOKUP(A165,Dataset!A:L,4,FALSE)</f>
        <v>Sunglasses</v>
      </c>
      <c r="E165" s="2">
        <f>VLOOKUP(A165,Dataset!A:L,8,FALSE)</f>
        <v>0</v>
      </c>
      <c r="F165" s="6">
        <f>VLOOKUP(A165,Dataset!A:L,12,FALSE)</f>
        <v>-441.46</v>
      </c>
    </row>
    <row r="166" spans="1:6">
      <c r="A166" s="5">
        <v>1164</v>
      </c>
      <c r="B166" s="2" t="str">
        <f>VLOOKUP(A166,Dataset!A:L,2,FALSE)</f>
        <v>Steven Ingram</v>
      </c>
      <c r="C166" s="2" t="str">
        <f>VLOOKUP(A166,Dataset!A:L,3,FALSE)</f>
        <v>Accessories</v>
      </c>
      <c r="D166" s="2" t="str">
        <f>VLOOKUP(A166,Dataset!A:L,4,FALSE)</f>
        <v>Sunglasses</v>
      </c>
      <c r="E166" s="2">
        <f>VLOOKUP(A166,Dataset!A:L,8,FALSE)</f>
        <v>0</v>
      </c>
      <c r="F166" s="6">
        <f>VLOOKUP(A166,Dataset!A:L,12,FALSE)</f>
        <v>598.79</v>
      </c>
    </row>
    <row r="167" spans="1:6">
      <c r="A167" s="5">
        <v>1165</v>
      </c>
      <c r="B167" s="2" t="str">
        <f>VLOOKUP(A167,Dataset!A:L,2,FALSE)</f>
        <v>Joshua Jones</v>
      </c>
      <c r="C167" s="2" t="str">
        <f>VLOOKUP(A167,Dataset!A:L,3,FALSE)</f>
        <v>T-Shirts</v>
      </c>
      <c r="D167" s="2" t="str">
        <f>VLOOKUP(A167,Dataset!A:L,4,FALSE)</f>
        <v>Classic Tee</v>
      </c>
      <c r="E167" s="2">
        <f>VLOOKUP(A167,Dataset!A:L,8,FALSE)</f>
        <v>0</v>
      </c>
      <c r="F167" s="6">
        <f>VLOOKUP(A167,Dataset!A:L,12,FALSE)</f>
        <v>-102.32</v>
      </c>
    </row>
    <row r="168" spans="1:6">
      <c r="A168" s="5">
        <v>1166</v>
      </c>
      <c r="B168" s="2" t="str">
        <f>VLOOKUP(A168,Dataset!A:L,2,FALSE)</f>
        <v>Jennifer Johnson</v>
      </c>
      <c r="C168" s="2" t="str">
        <f>VLOOKUP(A168,Dataset!A:L,3,FALSE)</f>
        <v>Jackets</v>
      </c>
      <c r="D168" s="2" t="str">
        <f>VLOOKUP(A168,Dataset!A:L,4,FALSE)</f>
        <v>Bomber Jacket</v>
      </c>
      <c r="E168" s="2">
        <f>VLOOKUP(A168,Dataset!A:L,8,FALSE)</f>
        <v>0</v>
      </c>
      <c r="F168" s="6">
        <f>VLOOKUP(A168,Dataset!A:L,12,FALSE)</f>
        <v>285.44</v>
      </c>
    </row>
    <row r="169" spans="1:6">
      <c r="A169" s="5">
        <v>1167</v>
      </c>
      <c r="B169" s="2" t="str">
        <f>VLOOKUP(A169,Dataset!A:L,2,FALSE)</f>
        <v>Robert Evans</v>
      </c>
      <c r="C169" s="2" t="str">
        <f>VLOOKUP(A169,Dataset!A:L,3,FALSE)</f>
        <v>T-Shirts</v>
      </c>
      <c r="D169" s="2" t="str">
        <f>VLOOKUP(A169,Dataset!A:L,4,FALSE)</f>
        <v>Oversized T-shirt</v>
      </c>
      <c r="E169" s="2">
        <f>VLOOKUP(A169,Dataset!A:L,8,FALSE)</f>
        <v>0</v>
      </c>
      <c r="F169" s="6">
        <f>VLOOKUP(A169,Dataset!A:L,12,FALSE)</f>
        <v>-653.79999999999995</v>
      </c>
    </row>
    <row r="170" spans="1:6">
      <c r="A170" s="5">
        <v>1168</v>
      </c>
      <c r="B170" s="2" t="str">
        <f>VLOOKUP(A170,Dataset!A:L,2,FALSE)</f>
        <v>Eugene Olson Jr.</v>
      </c>
      <c r="C170" s="2" t="str">
        <f>VLOOKUP(A170,Dataset!A:L,3,FALSE)</f>
        <v>Accessories</v>
      </c>
      <c r="D170" s="2" t="str">
        <f>VLOOKUP(A170,Dataset!A:L,4,FALSE)</f>
        <v>Sunglasses</v>
      </c>
      <c r="E170" s="2">
        <f>VLOOKUP(A170,Dataset!A:L,8,FALSE)</f>
        <v>0</v>
      </c>
      <c r="F170" s="6">
        <f>VLOOKUP(A170,Dataset!A:L,12,FALSE)</f>
        <v>2024.15</v>
      </c>
    </row>
    <row r="171" spans="1:6">
      <c r="A171" s="5">
        <v>1169</v>
      </c>
      <c r="B171" s="2" t="str">
        <f>VLOOKUP(A171,Dataset!A:L,2,FALSE)</f>
        <v>Kristine Sexton</v>
      </c>
      <c r="C171" s="2" t="str">
        <f>VLOOKUP(A171,Dataset!A:L,3,FALSE)</f>
        <v>T-Shirts</v>
      </c>
      <c r="D171" s="2" t="str">
        <f>VLOOKUP(A171,Dataset!A:L,4,FALSE)</f>
        <v>Classic Tee</v>
      </c>
      <c r="E171" s="2">
        <f>VLOOKUP(A171,Dataset!A:L,8,FALSE)</f>
        <v>-294.83</v>
      </c>
      <c r="F171" s="6">
        <f>VLOOKUP(A171,Dataset!A:L,12,FALSE)</f>
        <v>1285.1500000000001</v>
      </c>
    </row>
    <row r="172" spans="1:6">
      <c r="A172" s="5">
        <v>1170</v>
      </c>
      <c r="B172" s="2" t="str">
        <f>VLOOKUP(A172,Dataset!A:L,2,FALSE)</f>
        <v>Marc Hull</v>
      </c>
      <c r="C172" s="2" t="str">
        <f>VLOOKUP(A172,Dataset!A:L,3,FALSE)</f>
        <v>Jeans</v>
      </c>
      <c r="D172" s="2" t="str">
        <f>VLOOKUP(A172,Dataset!A:L,4,FALSE)</f>
        <v>Straight Cut</v>
      </c>
      <c r="E172" s="2">
        <f>VLOOKUP(A172,Dataset!A:L,8,FALSE)</f>
        <v>0</v>
      </c>
      <c r="F172" s="6">
        <f>VLOOKUP(A172,Dataset!A:L,12,FALSE)</f>
        <v>-528.70000000000005</v>
      </c>
    </row>
    <row r="173" spans="1:6">
      <c r="A173" s="5">
        <v>1171</v>
      </c>
      <c r="B173" s="2" t="str">
        <f>VLOOKUP(A173,Dataset!A:L,2,FALSE)</f>
        <v>Richard Johnson</v>
      </c>
      <c r="C173" s="2" t="str">
        <f>VLOOKUP(A173,Dataset!A:L,3,FALSE)</f>
        <v>Jeans</v>
      </c>
      <c r="D173" s="2" t="str">
        <f>VLOOKUP(A173,Dataset!A:L,4,FALSE)</f>
        <v>Straight Cut</v>
      </c>
      <c r="E173" s="2">
        <f>VLOOKUP(A173,Dataset!A:L,8,FALSE)</f>
        <v>0</v>
      </c>
      <c r="F173" s="6">
        <f>VLOOKUP(A173,Dataset!A:L,12,FALSE)</f>
        <v>2475.83</v>
      </c>
    </row>
    <row r="174" spans="1:6">
      <c r="A174" s="5">
        <v>1172</v>
      </c>
      <c r="B174" s="2" t="str">
        <f>VLOOKUP(A174,Dataset!A:L,2,FALSE)</f>
        <v>Diane Davis</v>
      </c>
      <c r="C174" s="2" t="str">
        <f>VLOOKUP(A174,Dataset!A:L,3,FALSE)</f>
        <v>Jackets</v>
      </c>
      <c r="D174" s="2" t="str">
        <f>VLOOKUP(A174,Dataset!A:L,4,FALSE)</f>
        <v>Puffer Coat</v>
      </c>
      <c r="E174" s="2">
        <f>VLOOKUP(A174,Dataset!A:L,8,FALSE)</f>
        <v>0</v>
      </c>
      <c r="F174" s="6">
        <f>VLOOKUP(A174,Dataset!A:L,12,FALSE)</f>
        <v>655.1</v>
      </c>
    </row>
    <row r="175" spans="1:6">
      <c r="A175" s="5">
        <v>1173</v>
      </c>
      <c r="B175" s="2" t="str">
        <f>VLOOKUP(A175,Dataset!A:L,2,FALSE)</f>
        <v>Shaun Bush</v>
      </c>
      <c r="C175" s="2" t="str">
        <f>VLOOKUP(A175,Dataset!A:L,3,FALSE)</f>
        <v>Jeans</v>
      </c>
      <c r="D175" s="2" t="str">
        <f>VLOOKUP(A175,Dataset!A:L,4,FALSE)</f>
        <v>Boyfriend Jeans</v>
      </c>
      <c r="E175" s="2">
        <f>VLOOKUP(A175,Dataset!A:L,8,FALSE)</f>
        <v>0</v>
      </c>
      <c r="F175" s="6">
        <f>VLOOKUP(A175,Dataset!A:L,12,FALSE)</f>
        <v>2034.39</v>
      </c>
    </row>
    <row r="176" spans="1:6">
      <c r="A176" s="5">
        <v>1174</v>
      </c>
      <c r="B176" s="2" t="str">
        <f>VLOOKUP(A176,Dataset!A:L,2,FALSE)</f>
        <v>Tiffany Flores</v>
      </c>
      <c r="C176" s="2" t="str">
        <f>VLOOKUP(A176,Dataset!A:L,3,FALSE)</f>
        <v>Jackets</v>
      </c>
      <c r="D176" s="2" t="str">
        <f>VLOOKUP(A176,Dataset!A:L,4,FALSE)</f>
        <v>Leather Jacket</v>
      </c>
      <c r="E176" s="2">
        <f>VLOOKUP(A176,Dataset!A:L,8,FALSE)</f>
        <v>17346.580000000002</v>
      </c>
      <c r="F176" s="6">
        <f>VLOOKUP(A176,Dataset!A:L,12,FALSE)</f>
        <v>2931.32</v>
      </c>
    </row>
    <row r="177" spans="1:6">
      <c r="A177" s="5">
        <v>1175</v>
      </c>
      <c r="B177" s="2" t="str">
        <f>VLOOKUP(A177,Dataset!A:L,2,FALSE)</f>
        <v>Ashley Brown</v>
      </c>
      <c r="C177" s="2" t="str">
        <f>VLOOKUP(A177,Dataset!A:L,3,FALSE)</f>
        <v>Dresses</v>
      </c>
      <c r="D177" s="2" t="str">
        <f>VLOOKUP(A177,Dataset!A:L,4,FALSE)</f>
        <v>Casual Midi</v>
      </c>
      <c r="E177" s="2">
        <f>VLOOKUP(A177,Dataset!A:L,8,FALSE)</f>
        <v>0</v>
      </c>
      <c r="F177" s="6">
        <f>VLOOKUP(A177,Dataset!A:L,12,FALSE)</f>
        <v>728.61</v>
      </c>
    </row>
    <row r="178" spans="1:6">
      <c r="A178" s="5">
        <v>1176</v>
      </c>
      <c r="B178" s="2" t="str">
        <f>VLOOKUP(A178,Dataset!A:L,2,FALSE)</f>
        <v>Bailey Williamson</v>
      </c>
      <c r="C178" s="2" t="str">
        <f>VLOOKUP(A178,Dataset!A:L,3,FALSE)</f>
        <v>Jeans</v>
      </c>
      <c r="D178" s="2" t="str">
        <f>VLOOKUP(A178,Dataset!A:L,4,FALSE)</f>
        <v>Boyfriend Jeans</v>
      </c>
      <c r="E178" s="2">
        <f>VLOOKUP(A178,Dataset!A:L,8,FALSE)</f>
        <v>0</v>
      </c>
      <c r="F178" s="6">
        <f>VLOOKUP(A178,Dataset!A:L,12,FALSE)</f>
        <v>-879.15</v>
      </c>
    </row>
    <row r="179" spans="1:6">
      <c r="A179" s="5">
        <v>1177</v>
      </c>
      <c r="B179" s="2" t="str">
        <f>VLOOKUP(A179,Dataset!A:L,2,FALSE)</f>
        <v>Elizabeth Torres</v>
      </c>
      <c r="C179" s="2" t="str">
        <f>VLOOKUP(A179,Dataset!A:L,3,FALSE)</f>
        <v>Jeans</v>
      </c>
      <c r="D179" s="2" t="str">
        <f>VLOOKUP(A179,Dataset!A:L,4,FALSE)</f>
        <v>Straight Cut</v>
      </c>
      <c r="E179" s="2">
        <f>VLOOKUP(A179,Dataset!A:L,8,FALSE)</f>
        <v>0</v>
      </c>
      <c r="F179" s="6">
        <f>VLOOKUP(A179,Dataset!A:L,12,FALSE)</f>
        <v>353.91</v>
      </c>
    </row>
    <row r="180" spans="1:6">
      <c r="A180" s="5">
        <v>1178</v>
      </c>
      <c r="B180" s="2" t="str">
        <f>VLOOKUP(A180,Dataset!A:L,2,FALSE)</f>
        <v>Joshua Anderson</v>
      </c>
      <c r="C180" s="2" t="str">
        <f>VLOOKUP(A180,Dataset!A:L,3,FALSE)</f>
        <v>T-Shirts</v>
      </c>
      <c r="D180" s="2" t="str">
        <f>VLOOKUP(A180,Dataset!A:L,4,FALSE)</f>
        <v>Crop Top</v>
      </c>
      <c r="E180" s="2">
        <f>VLOOKUP(A180,Dataset!A:L,8,FALSE)</f>
        <v>0</v>
      </c>
      <c r="F180" s="6">
        <f>VLOOKUP(A180,Dataset!A:L,12,FALSE)</f>
        <v>2161.64</v>
      </c>
    </row>
    <row r="181" spans="1:6">
      <c r="A181" s="5">
        <v>1179</v>
      </c>
      <c r="B181" s="2" t="str">
        <f>VLOOKUP(A181,Dataset!A:L,2,FALSE)</f>
        <v>Kevin Allen</v>
      </c>
      <c r="C181" s="2" t="str">
        <f>VLOOKUP(A181,Dataset!A:L,3,FALSE)</f>
        <v>Jackets</v>
      </c>
      <c r="D181" s="2" t="str">
        <f>VLOOKUP(A181,Dataset!A:L,4,FALSE)</f>
        <v>Bomber Jacket</v>
      </c>
      <c r="E181" s="2">
        <f>VLOOKUP(A181,Dataset!A:L,8,FALSE)</f>
        <v>0</v>
      </c>
      <c r="F181" s="6">
        <f>VLOOKUP(A181,Dataset!A:L,12,FALSE)</f>
        <v>510.53</v>
      </c>
    </row>
    <row r="182" spans="1:6">
      <c r="A182" s="5">
        <v>1180</v>
      </c>
      <c r="B182" s="2" t="str">
        <f>VLOOKUP(A182,Dataset!A:L,2,FALSE)</f>
        <v>Michelle Moore</v>
      </c>
      <c r="C182" s="2" t="str">
        <f>VLOOKUP(A182,Dataset!A:L,3,FALSE)</f>
        <v>Dresses</v>
      </c>
      <c r="D182" s="2" t="str">
        <f>VLOOKUP(A182,Dataset!A:L,4,FALSE)</f>
        <v>Bodycon</v>
      </c>
      <c r="E182" s="2">
        <f>VLOOKUP(A182,Dataset!A:L,8,FALSE)</f>
        <v>0</v>
      </c>
      <c r="F182" s="6">
        <f>VLOOKUP(A182,Dataset!A:L,12,FALSE)</f>
        <v>835.4</v>
      </c>
    </row>
    <row r="183" spans="1:6">
      <c r="A183" s="5">
        <v>1181</v>
      </c>
      <c r="B183" s="2" t="str">
        <f>VLOOKUP(A183,Dataset!A:L,2,FALSE)</f>
        <v>John Barber</v>
      </c>
      <c r="C183" s="2" t="str">
        <f>VLOOKUP(A183,Dataset!A:L,3,FALSE)</f>
        <v>Jackets</v>
      </c>
      <c r="D183" s="2" t="str">
        <f>VLOOKUP(A183,Dataset!A:L,4,FALSE)</f>
        <v>Bomber Jacket</v>
      </c>
      <c r="E183" s="2">
        <f>VLOOKUP(A183,Dataset!A:L,8,FALSE)</f>
        <v>0</v>
      </c>
      <c r="F183" s="6">
        <f>VLOOKUP(A183,Dataset!A:L,12,FALSE)</f>
        <v>2564.06</v>
      </c>
    </row>
    <row r="184" spans="1:6">
      <c r="A184" s="5">
        <v>1182</v>
      </c>
      <c r="B184" s="2" t="str">
        <f>VLOOKUP(A184,Dataset!A:L,2,FALSE)</f>
        <v>Andrew Mclaughlin</v>
      </c>
      <c r="C184" s="2" t="str">
        <f>VLOOKUP(A184,Dataset!A:L,3,FALSE)</f>
        <v>Jeans</v>
      </c>
      <c r="D184" s="2" t="str">
        <f>VLOOKUP(A184,Dataset!A:L,4,FALSE)</f>
        <v>Slim Fit Jeans</v>
      </c>
      <c r="E184" s="2">
        <f>VLOOKUP(A184,Dataset!A:L,8,FALSE)</f>
        <v>0</v>
      </c>
      <c r="F184" s="6">
        <f>VLOOKUP(A184,Dataset!A:L,12,FALSE)</f>
        <v>-747.25</v>
      </c>
    </row>
    <row r="185" spans="1:6">
      <c r="A185" s="5">
        <v>1183</v>
      </c>
      <c r="B185" s="2" t="str">
        <f>VLOOKUP(A185,Dataset!A:L,2,FALSE)</f>
        <v>Sherry Ward</v>
      </c>
      <c r="C185" s="2" t="str">
        <f>VLOOKUP(A185,Dataset!A:L,3,FALSE)</f>
        <v>Accessories</v>
      </c>
      <c r="D185" s="2" t="str">
        <f>VLOOKUP(A185,Dataset!A:L,4,FALSE)</f>
        <v>Watches</v>
      </c>
      <c r="E185" s="2">
        <f>VLOOKUP(A185,Dataset!A:L,8,FALSE)</f>
        <v>0</v>
      </c>
      <c r="F185" s="6">
        <f>VLOOKUP(A185,Dataset!A:L,12,FALSE)</f>
        <v>1888.87</v>
      </c>
    </row>
    <row r="186" spans="1:6">
      <c r="A186" s="5">
        <v>1184</v>
      </c>
      <c r="B186" s="2" t="str">
        <f>VLOOKUP(A186,Dataset!A:L,2,FALSE)</f>
        <v>Craig Farrell</v>
      </c>
      <c r="C186" s="2" t="str">
        <f>VLOOKUP(A186,Dataset!A:L,3,FALSE)</f>
        <v>Jeans</v>
      </c>
      <c r="D186" s="2" t="str">
        <f>VLOOKUP(A186,Dataset!A:L,4,FALSE)</f>
        <v>Ripped Denim</v>
      </c>
      <c r="E186" s="2">
        <f>VLOOKUP(A186,Dataset!A:L,8,FALSE)</f>
        <v>0</v>
      </c>
      <c r="F186" s="6">
        <f>VLOOKUP(A186,Dataset!A:L,12,FALSE)</f>
        <v>1518.99</v>
      </c>
    </row>
    <row r="187" spans="1:6">
      <c r="A187" s="5">
        <v>1185</v>
      </c>
      <c r="B187" s="2" t="str">
        <f>VLOOKUP(A187,Dataset!A:L,2,FALSE)</f>
        <v>Stacy Brady</v>
      </c>
      <c r="C187" s="2" t="str">
        <f>VLOOKUP(A187,Dataset!A:L,3,FALSE)</f>
        <v>Accessories</v>
      </c>
      <c r="D187" s="2" t="str">
        <f>VLOOKUP(A187,Dataset!A:L,4,FALSE)</f>
        <v>Belts</v>
      </c>
      <c r="E187" s="2">
        <f>VLOOKUP(A187,Dataset!A:L,8,FALSE)</f>
        <v>0</v>
      </c>
      <c r="F187" s="6">
        <f>VLOOKUP(A187,Dataset!A:L,12,FALSE)</f>
        <v>-445.19</v>
      </c>
    </row>
    <row r="188" spans="1:6">
      <c r="A188" s="5">
        <v>1186</v>
      </c>
      <c r="B188" s="2" t="str">
        <f>VLOOKUP(A188,Dataset!A:L,2,FALSE)</f>
        <v>Daniel Patton</v>
      </c>
      <c r="C188" s="2" t="str">
        <f>VLOOKUP(A188,Dataset!A:L,3,FALSE)</f>
        <v>Jeans</v>
      </c>
      <c r="D188" s="2" t="str">
        <f>VLOOKUP(A188,Dataset!A:L,4,FALSE)</f>
        <v>Boyfriend Jeans</v>
      </c>
      <c r="E188" s="2">
        <f>VLOOKUP(A188,Dataset!A:L,8,FALSE)</f>
        <v>0</v>
      </c>
      <c r="F188" s="6">
        <f>VLOOKUP(A188,Dataset!A:L,12,FALSE)</f>
        <v>-40.479999999999997</v>
      </c>
    </row>
    <row r="189" spans="1:6">
      <c r="A189" s="5">
        <v>1187</v>
      </c>
      <c r="B189" s="2" t="str">
        <f>VLOOKUP(A189,Dataset!A:L,2,FALSE)</f>
        <v>Karen Smith</v>
      </c>
      <c r="C189" s="2" t="str">
        <f>VLOOKUP(A189,Dataset!A:L,3,FALSE)</f>
        <v>Accessories</v>
      </c>
      <c r="D189" s="2" t="str">
        <f>VLOOKUP(A189,Dataset!A:L,4,FALSE)</f>
        <v>Belts</v>
      </c>
      <c r="E189" s="2">
        <f>VLOOKUP(A189,Dataset!A:L,8,FALSE)</f>
        <v>0</v>
      </c>
      <c r="F189" s="6">
        <f>VLOOKUP(A189,Dataset!A:L,12,FALSE)</f>
        <v>1153.72</v>
      </c>
    </row>
    <row r="190" spans="1:6">
      <c r="A190" s="5">
        <v>1188</v>
      </c>
      <c r="B190" s="2" t="str">
        <f>VLOOKUP(A190,Dataset!A:L,2,FALSE)</f>
        <v>Maria Morrow</v>
      </c>
      <c r="C190" s="2" t="str">
        <f>VLOOKUP(A190,Dataset!A:L,3,FALSE)</f>
        <v>Accessories</v>
      </c>
      <c r="D190" s="2" t="str">
        <f>VLOOKUP(A190,Dataset!A:L,4,FALSE)</f>
        <v>Belts</v>
      </c>
      <c r="E190" s="2">
        <f>VLOOKUP(A190,Dataset!A:L,8,FALSE)</f>
        <v>25926.28</v>
      </c>
      <c r="F190" s="6">
        <f>VLOOKUP(A190,Dataset!A:L,12,FALSE)</f>
        <v>2089.25</v>
      </c>
    </row>
    <row r="191" spans="1:6">
      <c r="A191" s="5">
        <v>1189</v>
      </c>
      <c r="B191" s="2" t="str">
        <f>VLOOKUP(A191,Dataset!A:L,2,FALSE)</f>
        <v>Elizabeth Johnson</v>
      </c>
      <c r="C191" s="2" t="str">
        <f>VLOOKUP(A191,Dataset!A:L,3,FALSE)</f>
        <v>T-Shirts</v>
      </c>
      <c r="D191" s="2" t="str">
        <f>VLOOKUP(A191,Dataset!A:L,4,FALSE)</f>
        <v>Oversized T-shirt</v>
      </c>
      <c r="E191" s="2">
        <f>VLOOKUP(A191,Dataset!A:L,8,FALSE)</f>
        <v>0</v>
      </c>
      <c r="F191" s="6">
        <f>VLOOKUP(A191,Dataset!A:L,12,FALSE)</f>
        <v>392.87</v>
      </c>
    </row>
    <row r="192" spans="1:6">
      <c r="A192" s="5">
        <v>1190</v>
      </c>
      <c r="B192" s="2" t="str">
        <f>VLOOKUP(A192,Dataset!A:L,2,FALSE)</f>
        <v>Antonio Boyd PhD</v>
      </c>
      <c r="C192" s="2" t="str">
        <f>VLOOKUP(A192,Dataset!A:L,3,FALSE)</f>
        <v>Jackets</v>
      </c>
      <c r="D192" s="2" t="str">
        <f>VLOOKUP(A192,Dataset!A:L,4,FALSE)</f>
        <v>Puffer Coat</v>
      </c>
      <c r="E192" s="2">
        <f>VLOOKUP(A192,Dataset!A:L,8,FALSE)</f>
        <v>0</v>
      </c>
      <c r="F192" s="6">
        <f>VLOOKUP(A192,Dataset!A:L,12,FALSE)</f>
        <v>75.040000000000006</v>
      </c>
    </row>
    <row r="193" spans="1:6">
      <c r="A193" s="5">
        <v>1191</v>
      </c>
      <c r="B193" s="2" t="str">
        <f>VLOOKUP(A193,Dataset!A:L,2,FALSE)</f>
        <v>John Tucker</v>
      </c>
      <c r="C193" s="2" t="str">
        <f>VLOOKUP(A193,Dataset!A:L,3,FALSE)</f>
        <v>Accessories</v>
      </c>
      <c r="D193" s="2" t="str">
        <f>VLOOKUP(A193,Dataset!A:L,4,FALSE)</f>
        <v>Belts</v>
      </c>
      <c r="E193" s="2">
        <f>VLOOKUP(A193,Dataset!A:L,8,FALSE)</f>
        <v>0</v>
      </c>
      <c r="F193" s="6">
        <f>VLOOKUP(A193,Dataset!A:L,12,FALSE)</f>
        <v>2860.2</v>
      </c>
    </row>
    <row r="194" spans="1:6">
      <c r="A194" s="5">
        <v>1010</v>
      </c>
      <c r="B194" s="2" t="str">
        <f>VLOOKUP(A194,Dataset!A:L,2,FALSE)</f>
        <v>Oscar Turner</v>
      </c>
      <c r="C194" s="2" t="str">
        <f>VLOOKUP(A194,Dataset!A:L,3,FALSE)</f>
        <v>T-Shirts</v>
      </c>
      <c r="D194" s="2" t="str">
        <f>VLOOKUP(A194,Dataset!A:L,4,FALSE)</f>
        <v>Crop Top</v>
      </c>
      <c r="E194" s="2">
        <f>VLOOKUP(A194,Dataset!A:L,8,FALSE)</f>
        <v>0</v>
      </c>
      <c r="F194" s="6">
        <f>VLOOKUP(A194,Dataset!A:L,12,FALSE)</f>
        <v>-950.38</v>
      </c>
    </row>
    <row r="195" spans="1:6">
      <c r="A195" s="5">
        <v>1193</v>
      </c>
      <c r="B195" s="2" t="str">
        <f>VLOOKUP(A195,Dataset!A:L,2,FALSE)</f>
        <v>Christine Lopez</v>
      </c>
      <c r="C195" s="2" t="str">
        <f>VLOOKUP(A195,Dataset!A:L,3,FALSE)</f>
        <v>Dresses</v>
      </c>
      <c r="D195" s="2" t="str">
        <f>VLOOKUP(A195,Dataset!A:L,4,FALSE)</f>
        <v>Casual Midi</v>
      </c>
      <c r="E195" s="2">
        <f>VLOOKUP(A195,Dataset!A:L,8,FALSE)</f>
        <v>0</v>
      </c>
      <c r="F195" s="6">
        <f>VLOOKUP(A195,Dataset!A:L,12,FALSE)</f>
        <v>-682.74</v>
      </c>
    </row>
    <row r="196" spans="1:6">
      <c r="A196" s="5">
        <v>1032</v>
      </c>
      <c r="B196" s="2" t="str">
        <f>VLOOKUP(A196,Dataset!A:L,2,FALSE)</f>
        <v>Kim Harris</v>
      </c>
      <c r="C196" s="2" t="str">
        <f>VLOOKUP(A196,Dataset!A:L,3,FALSE)</f>
        <v>Jeans</v>
      </c>
      <c r="D196" s="2" t="str">
        <f>VLOOKUP(A196,Dataset!A:L,4,FALSE)</f>
        <v>Boyfriend Jeans</v>
      </c>
      <c r="E196" s="2">
        <f>VLOOKUP(A196,Dataset!A:L,8,FALSE)</f>
        <v>0</v>
      </c>
      <c r="F196" s="6">
        <f>VLOOKUP(A196,Dataset!A:L,12,FALSE)</f>
        <v>1377.61</v>
      </c>
    </row>
    <row r="197" spans="1:6">
      <c r="A197" s="5">
        <v>1195</v>
      </c>
      <c r="B197" s="2" t="str">
        <f>VLOOKUP(A197,Dataset!A:L,2,FALSE)</f>
        <v>Christine Rodgers</v>
      </c>
      <c r="C197" s="2" t="str">
        <f>VLOOKUP(A197,Dataset!A:L,3,FALSE)</f>
        <v>Dresses</v>
      </c>
      <c r="D197" s="2" t="str">
        <f>VLOOKUP(A197,Dataset!A:L,4,FALSE)</f>
        <v>Wrap Dress</v>
      </c>
      <c r="E197" s="2">
        <f>VLOOKUP(A197,Dataset!A:L,8,FALSE)</f>
        <v>0</v>
      </c>
      <c r="F197" s="6">
        <f>VLOOKUP(A197,Dataset!A:L,12,FALSE)</f>
        <v>1059.17</v>
      </c>
    </row>
    <row r="198" spans="1:6">
      <c r="A198" s="5">
        <v>1196</v>
      </c>
      <c r="B198" s="2" t="str">
        <f>VLOOKUP(A198,Dataset!A:L,2,FALSE)</f>
        <v>Michael Hawkins</v>
      </c>
      <c r="C198" s="2" t="str">
        <f>VLOOKUP(A198,Dataset!A:L,3,FALSE)</f>
        <v>Jeans</v>
      </c>
      <c r="D198" s="2" t="str">
        <f>VLOOKUP(A198,Dataset!A:L,4,FALSE)</f>
        <v>Slim Fit Jeans</v>
      </c>
      <c r="E198" s="2">
        <f>VLOOKUP(A198,Dataset!A:L,8,FALSE)</f>
        <v>0</v>
      </c>
      <c r="F198" s="6">
        <f>VLOOKUP(A198,Dataset!A:L,12,FALSE)</f>
        <v>1539.5</v>
      </c>
    </row>
    <row r="199" spans="1:6">
      <c r="A199" s="5">
        <v>1197</v>
      </c>
      <c r="B199" s="2" t="str">
        <f>VLOOKUP(A199,Dataset!A:L,2,FALSE)</f>
        <v>Dean Jimenez</v>
      </c>
      <c r="C199" s="2" t="str">
        <f>VLOOKUP(A199,Dataset!A:L,3,FALSE)</f>
        <v>Jackets</v>
      </c>
      <c r="D199" s="2" t="str">
        <f>VLOOKUP(A199,Dataset!A:L,4,FALSE)</f>
        <v>Denim Jacket</v>
      </c>
      <c r="E199" s="2">
        <f>VLOOKUP(A199,Dataset!A:L,8,FALSE)</f>
        <v>0</v>
      </c>
      <c r="F199" s="6">
        <f>VLOOKUP(A199,Dataset!A:L,12,FALSE)</f>
        <v>650.97</v>
      </c>
    </row>
    <row r="200" spans="1:6">
      <c r="A200" s="5">
        <v>1198</v>
      </c>
      <c r="B200" s="2" t="str">
        <f>VLOOKUP(A200,Dataset!A:L,2,FALSE)</f>
        <v>Jacqueline Erickson</v>
      </c>
      <c r="C200" s="2" t="str">
        <f>VLOOKUP(A200,Dataset!A:L,3,FALSE)</f>
        <v>Accessories</v>
      </c>
      <c r="D200" s="2" t="str">
        <f>VLOOKUP(A200,Dataset!A:L,4,FALSE)</f>
        <v>Sunglasses</v>
      </c>
      <c r="E200" s="2">
        <f>VLOOKUP(A200,Dataset!A:L,8,FALSE)</f>
        <v>0</v>
      </c>
      <c r="F200" s="6">
        <f>VLOOKUP(A200,Dataset!A:L,12,FALSE)</f>
        <v>2422.27</v>
      </c>
    </row>
    <row r="201" spans="1:6">
      <c r="A201" s="5">
        <v>1199</v>
      </c>
      <c r="B201" s="2" t="str">
        <f>VLOOKUP(A201,Dataset!A:L,2,FALSE)</f>
        <v>Jade Chavez</v>
      </c>
      <c r="C201" s="2" t="str">
        <f>VLOOKUP(A201,Dataset!A:L,3,FALSE)</f>
        <v>Shoes</v>
      </c>
      <c r="D201" s="2" t="str">
        <f>VLOOKUP(A201,Dataset!A:L,4,FALSE)</f>
        <v>Boots</v>
      </c>
      <c r="E201" s="2">
        <f>VLOOKUP(A201,Dataset!A:L,8,FALSE)</f>
        <v>0</v>
      </c>
      <c r="F201" s="6">
        <f>VLOOKUP(A201,Dataset!A:L,12,FALSE)</f>
        <v>2637.77</v>
      </c>
    </row>
    <row r="202" spans="1:6">
      <c r="A202" s="5">
        <v>1200</v>
      </c>
      <c r="B202" s="2" t="str">
        <f>VLOOKUP(A202,Dataset!A:L,2,FALSE)</f>
        <v>Laura Green</v>
      </c>
      <c r="C202" s="2" t="str">
        <f>VLOOKUP(A202,Dataset!A:L,3,FALSE)</f>
        <v>Shoes</v>
      </c>
      <c r="D202" s="2" t="str">
        <f>VLOOKUP(A202,Dataset!A:L,4,FALSE)</f>
        <v>Sneakers</v>
      </c>
      <c r="E202" s="2">
        <f>VLOOKUP(A202,Dataset!A:L,8,FALSE)</f>
        <v>0</v>
      </c>
      <c r="F202" s="6">
        <f>VLOOKUP(A202,Dataset!A:L,12,FALSE)</f>
        <v>2782.21</v>
      </c>
    </row>
    <row r="203" spans="1:6">
      <c r="A203" s="5">
        <v>1201</v>
      </c>
      <c r="B203" s="2" t="str">
        <f>VLOOKUP(A203,Dataset!A:L,2,FALSE)</f>
        <v>Crystal Hayes MD</v>
      </c>
      <c r="C203" s="2" t="str">
        <f>VLOOKUP(A203,Dataset!A:L,3,FALSE)</f>
        <v>Jackets</v>
      </c>
      <c r="D203" s="2" t="str">
        <f>VLOOKUP(A203,Dataset!A:L,4,FALSE)</f>
        <v>Bomber Jacket</v>
      </c>
      <c r="E203" s="2">
        <f>VLOOKUP(A203,Dataset!A:L,8,FALSE)</f>
        <v>0</v>
      </c>
      <c r="F203" s="6">
        <f>VLOOKUP(A203,Dataset!A:L,12,FALSE)</f>
        <v>1023.04</v>
      </c>
    </row>
    <row r="204" spans="1:6">
      <c r="A204" s="5">
        <v>1202</v>
      </c>
      <c r="B204" s="2" t="str">
        <f>VLOOKUP(A204,Dataset!A:L,2,FALSE)</f>
        <v>Amy Walker</v>
      </c>
      <c r="C204" s="2" t="str">
        <f>VLOOKUP(A204,Dataset!A:L,3,FALSE)</f>
        <v>Accessories</v>
      </c>
      <c r="D204" s="2" t="str">
        <f>VLOOKUP(A204,Dataset!A:L,4,FALSE)</f>
        <v>Sunglasses</v>
      </c>
      <c r="E204" s="2">
        <f>VLOOKUP(A204,Dataset!A:L,8,FALSE)</f>
        <v>0</v>
      </c>
      <c r="F204" s="6">
        <f>VLOOKUP(A204,Dataset!A:L,12,FALSE)</f>
        <v>-207.53</v>
      </c>
    </row>
    <row r="205" spans="1:6">
      <c r="A205" s="5">
        <v>1203</v>
      </c>
      <c r="B205" s="2" t="str">
        <f>VLOOKUP(A205,Dataset!A:L,2,FALSE)</f>
        <v>Amy Gonzales</v>
      </c>
      <c r="C205" s="2" t="str">
        <f>VLOOKUP(A205,Dataset!A:L,3,FALSE)</f>
        <v>T-Shirts</v>
      </c>
      <c r="D205" s="2" t="str">
        <f>VLOOKUP(A205,Dataset!A:L,4,FALSE)</f>
        <v>Crop Top</v>
      </c>
      <c r="E205" s="2">
        <f>VLOOKUP(A205,Dataset!A:L,8,FALSE)</f>
        <v>0</v>
      </c>
      <c r="F205" s="6">
        <f>VLOOKUP(A205,Dataset!A:L,12,FALSE)</f>
        <v>657.59</v>
      </c>
    </row>
    <row r="206" spans="1:6">
      <c r="A206" s="5">
        <v>1204</v>
      </c>
      <c r="B206" s="2" t="str">
        <f>VLOOKUP(A206,Dataset!A:L,2,FALSE)</f>
        <v>David Parker</v>
      </c>
      <c r="C206" s="2" t="str">
        <f>VLOOKUP(A206,Dataset!A:L,3,FALSE)</f>
        <v>Shoes</v>
      </c>
      <c r="D206" s="2" t="str">
        <f>VLOOKUP(A206,Dataset!A:L,4,FALSE)</f>
        <v>Slip-ons</v>
      </c>
      <c r="E206" s="2">
        <f>VLOOKUP(A206,Dataset!A:L,8,FALSE)</f>
        <v>0</v>
      </c>
      <c r="F206" s="6">
        <f>VLOOKUP(A206,Dataset!A:L,12,FALSE)</f>
        <v>1867.53</v>
      </c>
    </row>
    <row r="207" spans="1:6">
      <c r="A207" s="5">
        <v>1205</v>
      </c>
      <c r="B207" s="2" t="str">
        <f>VLOOKUP(A207,Dataset!A:L,2,FALSE)</f>
        <v>Jennifer Williams</v>
      </c>
      <c r="C207" s="2" t="str">
        <f>VLOOKUP(A207,Dataset!A:L,3,FALSE)</f>
        <v>Jeans</v>
      </c>
      <c r="D207" s="2" t="str">
        <f>VLOOKUP(A207,Dataset!A:L,4,FALSE)</f>
        <v>Slim Fit Jeans</v>
      </c>
      <c r="E207" s="2">
        <f>VLOOKUP(A207,Dataset!A:L,8,FALSE)</f>
        <v>0</v>
      </c>
      <c r="F207" s="6">
        <f>VLOOKUP(A207,Dataset!A:L,12,FALSE)</f>
        <v>-24.51</v>
      </c>
    </row>
    <row r="208" spans="1:6">
      <c r="A208" s="5">
        <v>1206</v>
      </c>
      <c r="B208" s="2" t="str">
        <f>VLOOKUP(A208,Dataset!A:L,2,FALSE)</f>
        <v>Charles White</v>
      </c>
      <c r="C208" s="2" t="str">
        <f>VLOOKUP(A208,Dataset!A:L,3,FALSE)</f>
        <v>T-Shirts</v>
      </c>
      <c r="D208" s="2" t="str">
        <f>VLOOKUP(A208,Dataset!A:L,4,FALSE)</f>
        <v>Classic Tee</v>
      </c>
      <c r="E208" s="2">
        <f>VLOOKUP(A208,Dataset!A:L,8,FALSE)</f>
        <v>0</v>
      </c>
      <c r="F208" s="6">
        <f>VLOOKUP(A208,Dataset!A:L,12,FALSE)</f>
        <v>2472.2399999999998</v>
      </c>
    </row>
    <row r="209" spans="1:6">
      <c r="A209" s="5">
        <v>1207</v>
      </c>
      <c r="B209" s="2" t="str">
        <f>VLOOKUP(A209,Dataset!A:L,2,FALSE)</f>
        <v>Jerome Richardson</v>
      </c>
      <c r="C209" s="2" t="str">
        <f>VLOOKUP(A209,Dataset!A:L,3,FALSE)</f>
        <v>Jeans</v>
      </c>
      <c r="D209" s="2" t="str">
        <f>VLOOKUP(A209,Dataset!A:L,4,FALSE)</f>
        <v>Straight Cut</v>
      </c>
      <c r="E209" s="2">
        <f>VLOOKUP(A209,Dataset!A:L,8,FALSE)</f>
        <v>0</v>
      </c>
      <c r="F209" s="6">
        <f>VLOOKUP(A209,Dataset!A:L,12,FALSE)</f>
        <v>945.7</v>
      </c>
    </row>
    <row r="210" spans="1:6">
      <c r="A210" s="5">
        <v>1208</v>
      </c>
      <c r="B210" s="2" t="str">
        <f>VLOOKUP(A210,Dataset!A:L,2,FALSE)</f>
        <v>Jean Yoder</v>
      </c>
      <c r="C210" s="2" t="str">
        <f>VLOOKUP(A210,Dataset!A:L,3,FALSE)</f>
        <v>Jackets</v>
      </c>
      <c r="D210" s="2" t="str">
        <f>VLOOKUP(A210,Dataset!A:L,4,FALSE)</f>
        <v>Denim Jacket</v>
      </c>
      <c r="E210" s="2">
        <f>VLOOKUP(A210,Dataset!A:L,8,FALSE)</f>
        <v>0</v>
      </c>
      <c r="F210" s="6">
        <f>VLOOKUP(A210,Dataset!A:L,12,FALSE)</f>
        <v>648.73</v>
      </c>
    </row>
    <row r="211" spans="1:6">
      <c r="A211" s="5">
        <v>1209</v>
      </c>
      <c r="B211" s="2" t="str">
        <f>VLOOKUP(A211,Dataset!A:L,2,FALSE)</f>
        <v>Theodore Yang</v>
      </c>
      <c r="C211" s="2" t="str">
        <f>VLOOKUP(A211,Dataset!A:L,3,FALSE)</f>
        <v>Accessories</v>
      </c>
      <c r="D211" s="2" t="str">
        <f>VLOOKUP(A211,Dataset!A:L,4,FALSE)</f>
        <v>Watches</v>
      </c>
      <c r="E211" s="2">
        <f>VLOOKUP(A211,Dataset!A:L,8,FALSE)</f>
        <v>0</v>
      </c>
      <c r="F211" s="6">
        <f>VLOOKUP(A211,Dataset!A:L,12,FALSE)</f>
        <v>1447.79</v>
      </c>
    </row>
    <row r="212" spans="1:6">
      <c r="A212" s="5">
        <v>1210</v>
      </c>
      <c r="B212" s="2" t="str">
        <f>VLOOKUP(A212,Dataset!A:L,2,FALSE)</f>
        <v>Rebecca Grant</v>
      </c>
      <c r="C212" s="2" t="str">
        <f>VLOOKUP(A212,Dataset!A:L,3,FALSE)</f>
        <v>Accessories</v>
      </c>
      <c r="D212" s="2" t="str">
        <f>VLOOKUP(A212,Dataset!A:L,4,FALSE)</f>
        <v>Watches</v>
      </c>
      <c r="E212" s="2">
        <f>VLOOKUP(A212,Dataset!A:L,8,FALSE)</f>
        <v>0</v>
      </c>
      <c r="F212" s="6">
        <f>VLOOKUP(A212,Dataset!A:L,12,FALSE)</f>
        <v>2179.54</v>
      </c>
    </row>
    <row r="213" spans="1:6">
      <c r="A213" s="5">
        <v>1211</v>
      </c>
      <c r="B213" s="2" t="str">
        <f>VLOOKUP(A213,Dataset!A:L,2,FALSE)</f>
        <v>Kelli Young</v>
      </c>
      <c r="C213" s="2" t="str">
        <f>VLOOKUP(A213,Dataset!A:L,3,FALSE)</f>
        <v>Jeans</v>
      </c>
      <c r="D213" s="2" t="str">
        <f>VLOOKUP(A213,Dataset!A:L,4,FALSE)</f>
        <v>Ripped Denim</v>
      </c>
      <c r="E213" s="2">
        <f>VLOOKUP(A213,Dataset!A:L,8,FALSE)</f>
        <v>0</v>
      </c>
      <c r="F213" s="6">
        <f>VLOOKUP(A213,Dataset!A:L,12,FALSE)</f>
        <v>2783.91</v>
      </c>
    </row>
    <row r="214" spans="1:6">
      <c r="A214" s="5">
        <v>1212</v>
      </c>
      <c r="B214" s="2" t="str">
        <f>VLOOKUP(A214,Dataset!A:L,2,FALSE)</f>
        <v>Bradley Quinn</v>
      </c>
      <c r="C214" s="2" t="str">
        <f>VLOOKUP(A214,Dataset!A:L,3,FALSE)</f>
        <v>Shoes</v>
      </c>
      <c r="D214" s="2" t="str">
        <f>VLOOKUP(A214,Dataset!A:L,4,FALSE)</f>
        <v>Slip-ons</v>
      </c>
      <c r="E214" s="2">
        <f>VLOOKUP(A214,Dataset!A:L,8,FALSE)</f>
        <v>0</v>
      </c>
      <c r="F214" s="6">
        <f>VLOOKUP(A214,Dataset!A:L,12,FALSE)</f>
        <v>-656.35</v>
      </c>
    </row>
    <row r="215" spans="1:6">
      <c r="A215" s="5">
        <v>1213</v>
      </c>
      <c r="B215" s="2" t="str">
        <f>VLOOKUP(A215,Dataset!A:L,2,FALSE)</f>
        <v>Darrell Reynolds</v>
      </c>
      <c r="C215" s="2" t="str">
        <f>VLOOKUP(A215,Dataset!A:L,3,FALSE)</f>
        <v>T-Shirts</v>
      </c>
      <c r="D215" s="2" t="str">
        <f>VLOOKUP(A215,Dataset!A:L,4,FALSE)</f>
        <v>Classic Tee</v>
      </c>
      <c r="E215" s="2">
        <f>VLOOKUP(A215,Dataset!A:L,8,FALSE)</f>
        <v>0</v>
      </c>
      <c r="F215" s="6">
        <f>VLOOKUP(A215,Dataset!A:L,12,FALSE)</f>
        <v>1093.98</v>
      </c>
    </row>
    <row r="216" spans="1:6">
      <c r="A216" s="5">
        <v>1214</v>
      </c>
      <c r="B216" s="2" t="str">
        <f>VLOOKUP(A216,Dataset!A:L,2,FALSE)</f>
        <v>Alicia Hernandez</v>
      </c>
      <c r="C216" s="2" t="str">
        <f>VLOOKUP(A216,Dataset!A:L,3,FALSE)</f>
        <v>Jackets</v>
      </c>
      <c r="D216" s="2" t="str">
        <f>VLOOKUP(A216,Dataset!A:L,4,FALSE)</f>
        <v>Leather Jacket</v>
      </c>
      <c r="E216" s="2">
        <f>VLOOKUP(A216,Dataset!A:L,8,FALSE)</f>
        <v>0</v>
      </c>
      <c r="F216" s="6">
        <f>VLOOKUP(A216,Dataset!A:L,12,FALSE)</f>
        <v>1851.89</v>
      </c>
    </row>
    <row r="217" spans="1:6">
      <c r="A217" s="5">
        <v>1215</v>
      </c>
      <c r="B217" s="2" t="str">
        <f>VLOOKUP(A217,Dataset!A:L,2,FALSE)</f>
        <v>Melanie Hoffman</v>
      </c>
      <c r="C217" s="2" t="str">
        <f>VLOOKUP(A217,Dataset!A:L,3,FALSE)</f>
        <v>T-Shirts</v>
      </c>
      <c r="D217" s="2" t="str">
        <f>VLOOKUP(A217,Dataset!A:L,4,FALSE)</f>
        <v>Classic Tee</v>
      </c>
      <c r="E217" s="2">
        <f>VLOOKUP(A217,Dataset!A:L,8,FALSE)</f>
        <v>0</v>
      </c>
      <c r="F217" s="6">
        <f>VLOOKUP(A217,Dataset!A:L,12,FALSE)</f>
        <v>-266.99</v>
      </c>
    </row>
    <row r="218" spans="1:6">
      <c r="A218" s="5">
        <v>1216</v>
      </c>
      <c r="B218" s="2" t="str">
        <f>VLOOKUP(A218,Dataset!A:L,2,FALSE)</f>
        <v>Benjamin Dunlap</v>
      </c>
      <c r="C218" s="2" t="str">
        <f>VLOOKUP(A218,Dataset!A:L,3,FALSE)</f>
        <v>T-Shirts</v>
      </c>
      <c r="D218" s="2" t="str">
        <f>VLOOKUP(A218,Dataset!A:L,4,FALSE)</f>
        <v>Classic Tee</v>
      </c>
      <c r="E218" s="2">
        <f>VLOOKUP(A218,Dataset!A:L,8,FALSE)</f>
        <v>0</v>
      </c>
      <c r="F218" s="6">
        <f>VLOOKUP(A218,Dataset!A:L,12,FALSE)</f>
        <v>2986.8</v>
      </c>
    </row>
    <row r="219" spans="1:6">
      <c r="A219" s="5">
        <v>1217</v>
      </c>
      <c r="B219" s="2" t="str">
        <f>VLOOKUP(A219,Dataset!A:L,2,FALSE)</f>
        <v>Cheryl King</v>
      </c>
      <c r="C219" s="2" t="str">
        <f>VLOOKUP(A219,Dataset!A:L,3,FALSE)</f>
        <v>Jackets</v>
      </c>
      <c r="D219" s="2" t="str">
        <f>VLOOKUP(A219,Dataset!A:L,4,FALSE)</f>
        <v>Denim Jacket</v>
      </c>
      <c r="E219" s="2">
        <f>VLOOKUP(A219,Dataset!A:L,8,FALSE)</f>
        <v>0</v>
      </c>
      <c r="F219" s="6">
        <f>VLOOKUP(A219,Dataset!A:L,12,FALSE)</f>
        <v>17.309999999999999</v>
      </c>
    </row>
    <row r="220" spans="1:6">
      <c r="A220" s="5">
        <v>1218</v>
      </c>
      <c r="B220" s="2" t="str">
        <f>VLOOKUP(A220,Dataset!A:L,2,FALSE)</f>
        <v>Jamie Alexander</v>
      </c>
      <c r="C220" s="2" t="str">
        <f>VLOOKUP(A220,Dataset!A:L,3,FALSE)</f>
        <v>Dresses</v>
      </c>
      <c r="D220" s="2" t="str">
        <f>VLOOKUP(A220,Dataset!A:L,4,FALSE)</f>
        <v>Wrap Dress</v>
      </c>
      <c r="E220" s="2">
        <f>VLOOKUP(A220,Dataset!A:L,8,FALSE)</f>
        <v>3104.34</v>
      </c>
      <c r="F220" s="6">
        <f>VLOOKUP(A220,Dataset!A:L,12,FALSE)</f>
        <v>707.56</v>
      </c>
    </row>
    <row r="221" spans="1:6">
      <c r="A221" s="5">
        <v>1219</v>
      </c>
      <c r="B221" s="2" t="str">
        <f>VLOOKUP(A221,Dataset!A:L,2,FALSE)</f>
        <v>Kayla Crawford</v>
      </c>
      <c r="C221" s="2" t="str">
        <f>VLOOKUP(A221,Dataset!A:L,3,FALSE)</f>
        <v>Jeans</v>
      </c>
      <c r="D221" s="2" t="str">
        <f>VLOOKUP(A221,Dataset!A:L,4,FALSE)</f>
        <v>Straight Cut</v>
      </c>
      <c r="E221" s="2">
        <f>VLOOKUP(A221,Dataset!A:L,8,FALSE)</f>
        <v>0</v>
      </c>
      <c r="F221" s="6">
        <f>VLOOKUP(A221,Dataset!A:L,12,FALSE)</f>
        <v>2206</v>
      </c>
    </row>
    <row r="222" spans="1:6">
      <c r="A222" s="5">
        <v>1220</v>
      </c>
      <c r="B222" s="2" t="str">
        <f>VLOOKUP(A222,Dataset!A:L,2,FALSE)</f>
        <v>Amber Rivera</v>
      </c>
      <c r="C222" s="2" t="str">
        <f>VLOOKUP(A222,Dataset!A:L,3,FALSE)</f>
        <v>T-Shirts</v>
      </c>
      <c r="D222" s="2" t="str">
        <f>VLOOKUP(A222,Dataset!A:L,4,FALSE)</f>
        <v>Oversized T-shirt</v>
      </c>
      <c r="E222" s="2">
        <f>VLOOKUP(A222,Dataset!A:L,8,FALSE)</f>
        <v>0</v>
      </c>
      <c r="F222" s="6">
        <f>VLOOKUP(A222,Dataset!A:L,12,FALSE)</f>
        <v>1598.22</v>
      </c>
    </row>
    <row r="223" spans="1:6">
      <c r="A223" s="5">
        <v>1221</v>
      </c>
      <c r="B223" s="2" t="str">
        <f>VLOOKUP(A223,Dataset!A:L,2,FALSE)</f>
        <v>Cody Mitchell</v>
      </c>
      <c r="C223" s="2" t="str">
        <f>VLOOKUP(A223,Dataset!A:L,3,FALSE)</f>
        <v>Accessories</v>
      </c>
      <c r="D223" s="2" t="str">
        <f>VLOOKUP(A223,Dataset!A:L,4,FALSE)</f>
        <v>Belts</v>
      </c>
      <c r="E223" s="2">
        <f>VLOOKUP(A223,Dataset!A:L,8,FALSE)</f>
        <v>0</v>
      </c>
      <c r="F223" s="6">
        <f>VLOOKUP(A223,Dataset!A:L,12,FALSE)</f>
        <v>898.67</v>
      </c>
    </row>
    <row r="224" spans="1:6">
      <c r="A224" s="5">
        <v>1222</v>
      </c>
      <c r="B224" s="2" t="str">
        <f>VLOOKUP(A224,Dataset!A:L,2,FALSE)</f>
        <v>Karen Pennington</v>
      </c>
      <c r="C224" s="2" t="str">
        <f>VLOOKUP(A224,Dataset!A:L,3,FALSE)</f>
        <v>T-Shirts</v>
      </c>
      <c r="D224" s="2" t="str">
        <f>VLOOKUP(A224,Dataset!A:L,4,FALSE)</f>
        <v>Classic Tee</v>
      </c>
      <c r="E224" s="2">
        <f>VLOOKUP(A224,Dataset!A:L,8,FALSE)</f>
        <v>0</v>
      </c>
      <c r="F224" s="6">
        <f>VLOOKUP(A224,Dataset!A:L,12,FALSE)</f>
        <v>1489.45</v>
      </c>
    </row>
    <row r="225" spans="1:6">
      <c r="A225" s="5">
        <v>1223</v>
      </c>
      <c r="B225" s="2" t="str">
        <f>VLOOKUP(A225,Dataset!A:L,2,FALSE)</f>
        <v>Nicholas Thompson</v>
      </c>
      <c r="C225" s="2" t="str">
        <f>VLOOKUP(A225,Dataset!A:L,3,FALSE)</f>
        <v>T-Shirts</v>
      </c>
      <c r="D225" s="2" t="str">
        <f>VLOOKUP(A225,Dataset!A:L,4,FALSE)</f>
        <v>Crop Top</v>
      </c>
      <c r="E225" s="2">
        <f>VLOOKUP(A225,Dataset!A:L,8,FALSE)</f>
        <v>0</v>
      </c>
      <c r="F225" s="6">
        <f>VLOOKUP(A225,Dataset!A:L,12,FALSE)</f>
        <v>-531.04999999999995</v>
      </c>
    </row>
    <row r="226" spans="1:6">
      <c r="A226" s="5">
        <v>1224</v>
      </c>
      <c r="B226" s="2" t="str">
        <f>VLOOKUP(A226,Dataset!A:L,2,FALSE)</f>
        <v>Shelby Lewis</v>
      </c>
      <c r="C226" s="2" t="str">
        <f>VLOOKUP(A226,Dataset!A:L,3,FALSE)</f>
        <v>Dresses</v>
      </c>
      <c r="D226" s="2" t="str">
        <f>VLOOKUP(A226,Dataset!A:L,4,FALSE)</f>
        <v>Wrap Dress</v>
      </c>
      <c r="E226" s="2">
        <f>VLOOKUP(A226,Dataset!A:L,8,FALSE)</f>
        <v>0</v>
      </c>
      <c r="F226" s="6">
        <f>VLOOKUP(A226,Dataset!A:L,12,FALSE)</f>
        <v>2219.56</v>
      </c>
    </row>
    <row r="227" spans="1:6">
      <c r="A227" s="5">
        <v>1225</v>
      </c>
      <c r="B227" s="2" t="str">
        <f>VLOOKUP(A227,Dataset!A:L,2,FALSE)</f>
        <v>Gregory Flores</v>
      </c>
      <c r="C227" s="2" t="str">
        <f>VLOOKUP(A227,Dataset!A:L,3,FALSE)</f>
        <v>Shoes</v>
      </c>
      <c r="D227" s="2" t="str">
        <f>VLOOKUP(A227,Dataset!A:L,4,FALSE)</f>
        <v>Loafers</v>
      </c>
      <c r="E227" s="2">
        <f>VLOOKUP(A227,Dataset!A:L,8,FALSE)</f>
        <v>70.319999999999993</v>
      </c>
      <c r="F227" s="6">
        <f>VLOOKUP(A227,Dataset!A:L,12,FALSE)</f>
        <v>1937.71</v>
      </c>
    </row>
    <row r="228" spans="1:6">
      <c r="A228" s="5">
        <v>1226</v>
      </c>
      <c r="B228" s="2" t="str">
        <f>VLOOKUP(A228,Dataset!A:L,2,FALSE)</f>
        <v>Jeffrey Haynes</v>
      </c>
      <c r="C228" s="2" t="str">
        <f>VLOOKUP(A228,Dataset!A:L,3,FALSE)</f>
        <v>Dresses</v>
      </c>
      <c r="D228" s="2" t="str">
        <f>VLOOKUP(A228,Dataset!A:L,4,FALSE)</f>
        <v>Bodycon</v>
      </c>
      <c r="E228" s="2">
        <f>VLOOKUP(A228,Dataset!A:L,8,FALSE)</f>
        <v>0</v>
      </c>
      <c r="F228" s="6">
        <f>VLOOKUP(A228,Dataset!A:L,12,FALSE)</f>
        <v>2806.56</v>
      </c>
    </row>
    <row r="229" spans="1:6">
      <c r="A229" s="5">
        <v>1227</v>
      </c>
      <c r="B229" s="2" t="str">
        <f>VLOOKUP(A229,Dataset!A:L,2,FALSE)</f>
        <v>Antonio Moses</v>
      </c>
      <c r="C229" s="2" t="str">
        <f>VLOOKUP(A229,Dataset!A:L,3,FALSE)</f>
        <v>Accessories</v>
      </c>
      <c r="D229" s="2" t="str">
        <f>VLOOKUP(A229,Dataset!A:L,4,FALSE)</f>
        <v>Sunglasses</v>
      </c>
      <c r="E229" s="2">
        <f>VLOOKUP(A229,Dataset!A:L,8,FALSE)</f>
        <v>0</v>
      </c>
      <c r="F229" s="6">
        <f>VLOOKUP(A229,Dataset!A:L,12,FALSE)</f>
        <v>2096.6799999999998</v>
      </c>
    </row>
    <row r="230" spans="1:6">
      <c r="A230" s="5">
        <v>1048</v>
      </c>
      <c r="B230" s="2" t="str">
        <f>VLOOKUP(A230,Dataset!A:L,2,FALSE)</f>
        <v>James Hughes</v>
      </c>
      <c r="C230" s="2" t="str">
        <f>VLOOKUP(A230,Dataset!A:L,3,FALSE)</f>
        <v>Jeans</v>
      </c>
      <c r="D230" s="2" t="str">
        <f>VLOOKUP(A230,Dataset!A:L,4,FALSE)</f>
        <v>Straight Cut</v>
      </c>
      <c r="E230" s="2">
        <f>VLOOKUP(A230,Dataset!A:L,8,FALSE)</f>
        <v>0</v>
      </c>
      <c r="F230" s="6">
        <f>VLOOKUP(A230,Dataset!A:L,12,FALSE)</f>
        <v>2409.2600000000002</v>
      </c>
    </row>
    <row r="231" spans="1:6">
      <c r="A231" s="5">
        <v>1229</v>
      </c>
      <c r="B231" s="2" t="str">
        <f>VLOOKUP(A231,Dataset!A:L,2,FALSE)</f>
        <v>Allen Burton</v>
      </c>
      <c r="C231" s="2" t="str">
        <f>VLOOKUP(A231,Dataset!A:L,3,FALSE)</f>
        <v>Dresses</v>
      </c>
      <c r="D231" s="2" t="str">
        <f>VLOOKUP(A231,Dataset!A:L,4,FALSE)</f>
        <v>Bodycon</v>
      </c>
      <c r="E231" s="2">
        <f>VLOOKUP(A231,Dataset!A:L,8,FALSE)</f>
        <v>0</v>
      </c>
      <c r="F231" s="6">
        <f>VLOOKUP(A231,Dataset!A:L,12,FALSE)</f>
        <v>925.22</v>
      </c>
    </row>
    <row r="232" spans="1:6">
      <c r="A232" s="5">
        <v>1230</v>
      </c>
      <c r="B232" s="2" t="str">
        <f>VLOOKUP(A232,Dataset!A:L,2,FALSE)</f>
        <v>Adam Bennett</v>
      </c>
      <c r="C232" s="2" t="str">
        <f>VLOOKUP(A232,Dataset!A:L,3,FALSE)</f>
        <v>Accessories</v>
      </c>
      <c r="D232" s="2" t="str">
        <f>VLOOKUP(A232,Dataset!A:L,4,FALSE)</f>
        <v>Watches</v>
      </c>
      <c r="E232" s="2">
        <f>VLOOKUP(A232,Dataset!A:L,8,FALSE)</f>
        <v>0</v>
      </c>
      <c r="F232" s="6">
        <f>VLOOKUP(A232,Dataset!A:L,12,FALSE)</f>
        <v>2725.11</v>
      </c>
    </row>
    <row r="233" spans="1:6">
      <c r="A233" s="5">
        <v>1231</v>
      </c>
      <c r="B233" s="2" t="str">
        <f>VLOOKUP(A233,Dataset!A:L,2,FALSE)</f>
        <v>Ashley Stevens</v>
      </c>
      <c r="C233" s="2" t="str">
        <f>VLOOKUP(A233,Dataset!A:L,3,FALSE)</f>
        <v>Shoes</v>
      </c>
      <c r="D233" s="2" t="str">
        <f>VLOOKUP(A233,Dataset!A:L,4,FALSE)</f>
        <v>Slip-ons</v>
      </c>
      <c r="E233" s="2">
        <f>VLOOKUP(A233,Dataset!A:L,8,FALSE)</f>
        <v>0</v>
      </c>
      <c r="F233" s="6">
        <f>VLOOKUP(A233,Dataset!A:L,12,FALSE)</f>
        <v>1393.69</v>
      </c>
    </row>
    <row r="234" spans="1:6">
      <c r="A234" s="5">
        <v>1232</v>
      </c>
      <c r="B234" s="2" t="str">
        <f>VLOOKUP(A234,Dataset!A:L,2,FALSE)</f>
        <v>Sierra Miller</v>
      </c>
      <c r="C234" s="2" t="str">
        <f>VLOOKUP(A234,Dataset!A:L,3,FALSE)</f>
        <v>Shoes</v>
      </c>
      <c r="D234" s="2" t="str">
        <f>VLOOKUP(A234,Dataset!A:L,4,FALSE)</f>
        <v>Sneakers</v>
      </c>
      <c r="E234" s="2">
        <f>VLOOKUP(A234,Dataset!A:L,8,FALSE)</f>
        <v>0</v>
      </c>
      <c r="F234" s="6">
        <f>VLOOKUP(A234,Dataset!A:L,12,FALSE)</f>
        <v>1494.67</v>
      </c>
    </row>
    <row r="235" spans="1:6">
      <c r="A235" s="5">
        <v>1233</v>
      </c>
      <c r="B235" s="2" t="str">
        <f>VLOOKUP(A235,Dataset!A:L,2,FALSE)</f>
        <v>Katie Garcia</v>
      </c>
      <c r="C235" s="2" t="str">
        <f>VLOOKUP(A235,Dataset!A:L,3,FALSE)</f>
        <v>Jackets</v>
      </c>
      <c r="D235" s="2" t="str">
        <f>VLOOKUP(A235,Dataset!A:L,4,FALSE)</f>
        <v>Puffer Coat</v>
      </c>
      <c r="E235" s="2">
        <f>VLOOKUP(A235,Dataset!A:L,8,FALSE)</f>
        <v>0</v>
      </c>
      <c r="F235" s="6">
        <f>VLOOKUP(A235,Dataset!A:L,12,FALSE)</f>
        <v>2237.2399999999998</v>
      </c>
    </row>
    <row r="236" spans="1:6">
      <c r="A236" s="5">
        <v>1234</v>
      </c>
      <c r="B236" s="2" t="str">
        <f>VLOOKUP(A236,Dataset!A:L,2,FALSE)</f>
        <v>Timothy Goodman</v>
      </c>
      <c r="C236" s="2" t="str">
        <f>VLOOKUP(A236,Dataset!A:L,3,FALSE)</f>
        <v>Jeans</v>
      </c>
      <c r="D236" s="2" t="str">
        <f>VLOOKUP(A236,Dataset!A:L,4,FALSE)</f>
        <v>Straight Cut</v>
      </c>
      <c r="E236" s="2">
        <f>VLOOKUP(A236,Dataset!A:L,8,FALSE)</f>
        <v>0</v>
      </c>
      <c r="F236" s="6">
        <f>VLOOKUP(A236,Dataset!A:L,12,FALSE)</f>
        <v>110.58</v>
      </c>
    </row>
    <row r="237" spans="1:6">
      <c r="A237" s="5">
        <v>1235</v>
      </c>
      <c r="B237" s="2" t="str">
        <f>VLOOKUP(A237,Dataset!A:L,2,FALSE)</f>
        <v>Rebecca Drake</v>
      </c>
      <c r="C237" s="2" t="str">
        <f>VLOOKUP(A237,Dataset!A:L,3,FALSE)</f>
        <v>Jackets</v>
      </c>
      <c r="D237" s="2" t="str">
        <f>VLOOKUP(A237,Dataset!A:L,4,FALSE)</f>
        <v>Bomber Jacket</v>
      </c>
      <c r="E237" s="2">
        <f>VLOOKUP(A237,Dataset!A:L,8,FALSE)</f>
        <v>0</v>
      </c>
      <c r="F237" s="6">
        <f>VLOOKUP(A237,Dataset!A:L,12,FALSE)</f>
        <v>-403.94</v>
      </c>
    </row>
    <row r="238" spans="1:6">
      <c r="A238" s="5">
        <v>1036</v>
      </c>
      <c r="B238" s="2" t="str">
        <f>VLOOKUP(A238,Dataset!A:L,2,FALSE)</f>
        <v>Connie Cunningham</v>
      </c>
      <c r="C238" s="2" t="str">
        <f>VLOOKUP(A238,Dataset!A:L,3,FALSE)</f>
        <v>T-Shirts</v>
      </c>
      <c r="D238" s="2" t="str">
        <f>VLOOKUP(A238,Dataset!A:L,4,FALSE)</f>
        <v>Graphic Tee</v>
      </c>
      <c r="E238" s="2">
        <f>VLOOKUP(A238,Dataset!A:L,8,FALSE)</f>
        <v>0</v>
      </c>
      <c r="F238" s="6">
        <f>VLOOKUP(A238,Dataset!A:L,12,FALSE)</f>
        <v>1213.95</v>
      </c>
    </row>
    <row r="239" spans="1:6">
      <c r="A239" s="5">
        <v>1237</v>
      </c>
      <c r="B239" s="2" t="str">
        <f>VLOOKUP(A239,Dataset!A:L,2,FALSE)</f>
        <v>Matthew Holloway</v>
      </c>
      <c r="C239" s="2" t="str">
        <f>VLOOKUP(A239,Dataset!A:L,3,FALSE)</f>
        <v>T-Shirts</v>
      </c>
      <c r="D239" s="2" t="str">
        <f>VLOOKUP(A239,Dataset!A:L,4,FALSE)</f>
        <v>Classic Tee</v>
      </c>
      <c r="E239" s="2">
        <f>VLOOKUP(A239,Dataset!A:L,8,FALSE)</f>
        <v>0</v>
      </c>
      <c r="F239" s="6">
        <f>VLOOKUP(A239,Dataset!A:L,12,FALSE)</f>
        <v>-465.98</v>
      </c>
    </row>
    <row r="240" spans="1:6">
      <c r="A240" s="5">
        <v>1238</v>
      </c>
      <c r="B240" s="2" t="str">
        <f>VLOOKUP(A240,Dataset!A:L,2,FALSE)</f>
        <v>Scott Weeks</v>
      </c>
      <c r="C240" s="2" t="str">
        <f>VLOOKUP(A240,Dataset!A:L,3,FALSE)</f>
        <v>Shoes</v>
      </c>
      <c r="D240" s="2" t="str">
        <f>VLOOKUP(A240,Dataset!A:L,4,FALSE)</f>
        <v>Slip-ons</v>
      </c>
      <c r="E240" s="2">
        <f>VLOOKUP(A240,Dataset!A:L,8,FALSE)</f>
        <v>0</v>
      </c>
      <c r="F240" s="6">
        <f>VLOOKUP(A240,Dataset!A:L,12,FALSE)</f>
        <v>2742.61</v>
      </c>
    </row>
    <row r="241" spans="1:6">
      <c r="A241" s="5">
        <v>1239</v>
      </c>
      <c r="B241" s="2" t="str">
        <f>VLOOKUP(A241,Dataset!A:L,2,FALSE)</f>
        <v>Karina Davis</v>
      </c>
      <c r="C241" s="2" t="str">
        <f>VLOOKUP(A241,Dataset!A:L,3,FALSE)</f>
        <v>T-Shirts</v>
      </c>
      <c r="D241" s="2" t="str">
        <f>VLOOKUP(A241,Dataset!A:L,4,FALSE)</f>
        <v>Graphic Tee</v>
      </c>
      <c r="E241" s="2">
        <f>VLOOKUP(A241,Dataset!A:L,8,FALSE)</f>
        <v>0</v>
      </c>
      <c r="F241" s="6">
        <f>VLOOKUP(A241,Dataset!A:L,12,FALSE)</f>
        <v>1097.8800000000001</v>
      </c>
    </row>
    <row r="242" spans="1:6">
      <c r="A242" s="5">
        <v>1240</v>
      </c>
      <c r="B242" s="2" t="str">
        <f>VLOOKUP(A242,Dataset!A:L,2,FALSE)</f>
        <v>Melanie Ramirez</v>
      </c>
      <c r="C242" s="2" t="str">
        <f>VLOOKUP(A242,Dataset!A:L,3,FALSE)</f>
        <v>Dresses</v>
      </c>
      <c r="D242" s="2" t="str">
        <f>VLOOKUP(A242,Dataset!A:L,4,FALSE)</f>
        <v>Casual Midi</v>
      </c>
      <c r="E242" s="2">
        <f>VLOOKUP(A242,Dataset!A:L,8,FALSE)</f>
        <v>0</v>
      </c>
      <c r="F242" s="6">
        <f>VLOOKUP(A242,Dataset!A:L,12,FALSE)</f>
        <v>2625.44</v>
      </c>
    </row>
    <row r="243" spans="1:6">
      <c r="A243" s="5">
        <v>1241</v>
      </c>
      <c r="B243" s="2" t="str">
        <f>VLOOKUP(A243,Dataset!A:L,2,FALSE)</f>
        <v>Caroline Thomas</v>
      </c>
      <c r="C243" s="2" t="str">
        <f>VLOOKUP(A243,Dataset!A:L,3,FALSE)</f>
        <v>Jeans</v>
      </c>
      <c r="D243" s="2" t="str">
        <f>VLOOKUP(A243,Dataset!A:L,4,FALSE)</f>
        <v>Slim Fit Jeans</v>
      </c>
      <c r="E243" s="2">
        <f>VLOOKUP(A243,Dataset!A:L,8,FALSE)</f>
        <v>0</v>
      </c>
      <c r="F243" s="6">
        <f>VLOOKUP(A243,Dataset!A:L,12,FALSE)</f>
        <v>2814.82</v>
      </c>
    </row>
    <row r="244" spans="1:6">
      <c r="A244" s="5">
        <v>1242</v>
      </c>
      <c r="B244" s="2" t="str">
        <f>VLOOKUP(A244,Dataset!A:L,2,FALSE)</f>
        <v>Pamela Navarro</v>
      </c>
      <c r="C244" s="2" t="str">
        <f>VLOOKUP(A244,Dataset!A:L,3,FALSE)</f>
        <v>Jeans</v>
      </c>
      <c r="D244" s="2" t="str">
        <f>VLOOKUP(A244,Dataset!A:L,4,FALSE)</f>
        <v>Ripped Denim</v>
      </c>
      <c r="E244" s="2">
        <f>VLOOKUP(A244,Dataset!A:L,8,FALSE)</f>
        <v>0</v>
      </c>
      <c r="F244" s="6">
        <f>VLOOKUP(A244,Dataset!A:L,12,FALSE)</f>
        <v>1576.74</v>
      </c>
    </row>
    <row r="245" spans="1:6">
      <c r="A245" s="5">
        <v>1243</v>
      </c>
      <c r="B245" s="2" t="str">
        <f>VLOOKUP(A245,Dataset!A:L,2,FALSE)</f>
        <v>Jack Mccoy</v>
      </c>
      <c r="C245" s="2" t="str">
        <f>VLOOKUP(A245,Dataset!A:L,3,FALSE)</f>
        <v>Accessories</v>
      </c>
      <c r="D245" s="2" t="str">
        <f>VLOOKUP(A245,Dataset!A:L,4,FALSE)</f>
        <v>Caps</v>
      </c>
      <c r="E245" s="2">
        <f>VLOOKUP(A245,Dataset!A:L,8,FALSE)</f>
        <v>0</v>
      </c>
      <c r="F245" s="6">
        <f>VLOOKUP(A245,Dataset!A:L,12,FALSE)</f>
        <v>779.51</v>
      </c>
    </row>
    <row r="246" spans="1:6">
      <c r="A246" s="5">
        <v>1244</v>
      </c>
      <c r="B246" s="2" t="str">
        <f>VLOOKUP(A246,Dataset!A:L,2,FALSE)</f>
        <v>Ashley Walker</v>
      </c>
      <c r="C246" s="2" t="str">
        <f>VLOOKUP(A246,Dataset!A:L,3,FALSE)</f>
        <v>Dresses</v>
      </c>
      <c r="D246" s="2" t="str">
        <f>VLOOKUP(A246,Dataset!A:L,4,FALSE)</f>
        <v>Maxi Dress</v>
      </c>
      <c r="E246" s="2">
        <f>VLOOKUP(A246,Dataset!A:L,8,FALSE)</f>
        <v>0</v>
      </c>
      <c r="F246" s="6">
        <f>VLOOKUP(A246,Dataset!A:L,12,FALSE)</f>
        <v>2574.7600000000002</v>
      </c>
    </row>
    <row r="247" spans="1:6">
      <c r="A247" s="5">
        <v>1245</v>
      </c>
      <c r="B247" s="2" t="str">
        <f>VLOOKUP(A247,Dataset!A:L,2,FALSE)</f>
        <v>Christopher Mcknight</v>
      </c>
      <c r="C247" s="2" t="str">
        <f>VLOOKUP(A247,Dataset!A:L,3,FALSE)</f>
        <v>T-Shirts</v>
      </c>
      <c r="D247" s="2" t="str">
        <f>VLOOKUP(A247,Dataset!A:L,4,FALSE)</f>
        <v>Classic Tee</v>
      </c>
      <c r="E247" s="2">
        <f>VLOOKUP(A247,Dataset!A:L,8,FALSE)</f>
        <v>0</v>
      </c>
      <c r="F247" s="6">
        <f>VLOOKUP(A247,Dataset!A:L,12,FALSE)</f>
        <v>1076.3399999999999</v>
      </c>
    </row>
    <row r="248" spans="1:6">
      <c r="A248" s="5">
        <v>1246</v>
      </c>
      <c r="B248" s="2" t="str">
        <f>VLOOKUP(A248,Dataset!A:L,2,FALSE)</f>
        <v>Dr. Derrick Scott</v>
      </c>
      <c r="C248" s="2" t="str">
        <f>VLOOKUP(A248,Dataset!A:L,3,FALSE)</f>
        <v>Dresses</v>
      </c>
      <c r="D248" s="2" t="str">
        <f>VLOOKUP(A248,Dataset!A:L,4,FALSE)</f>
        <v>Maxi Dress</v>
      </c>
      <c r="E248" s="2">
        <f>VLOOKUP(A248,Dataset!A:L,8,FALSE)</f>
        <v>0</v>
      </c>
      <c r="F248" s="6">
        <f>VLOOKUP(A248,Dataset!A:L,12,FALSE)</f>
        <v>733.8</v>
      </c>
    </row>
    <row r="249" spans="1:6">
      <c r="A249" s="5">
        <v>1247</v>
      </c>
      <c r="B249" s="2" t="str">
        <f>VLOOKUP(A249,Dataset!A:L,2,FALSE)</f>
        <v>Jared Tate</v>
      </c>
      <c r="C249" s="2" t="str">
        <f>VLOOKUP(A249,Dataset!A:L,3,FALSE)</f>
        <v>T-Shirts</v>
      </c>
      <c r="D249" s="2" t="str">
        <f>VLOOKUP(A249,Dataset!A:L,4,FALSE)</f>
        <v>Crop Top</v>
      </c>
      <c r="E249" s="2">
        <f>VLOOKUP(A249,Dataset!A:L,8,FALSE)</f>
        <v>0</v>
      </c>
      <c r="F249" s="6">
        <f>VLOOKUP(A249,Dataset!A:L,12,FALSE)</f>
        <v>1605.97</v>
      </c>
    </row>
    <row r="250" spans="1:6">
      <c r="A250" s="5">
        <v>1248</v>
      </c>
      <c r="B250" s="2" t="str">
        <f>VLOOKUP(A250,Dataset!A:L,2,FALSE)</f>
        <v>Edward Morgan</v>
      </c>
      <c r="C250" s="2" t="str">
        <f>VLOOKUP(A250,Dataset!A:L,3,FALSE)</f>
        <v>Accessories</v>
      </c>
      <c r="D250" s="2" t="str">
        <f>VLOOKUP(A250,Dataset!A:L,4,FALSE)</f>
        <v>Watches</v>
      </c>
      <c r="E250" s="2">
        <f>VLOOKUP(A250,Dataset!A:L,8,FALSE)</f>
        <v>0</v>
      </c>
      <c r="F250" s="6">
        <f>VLOOKUP(A250,Dataset!A:L,12,FALSE)</f>
        <v>397.41</v>
      </c>
    </row>
    <row r="251" spans="1:6">
      <c r="A251" s="5">
        <v>1249</v>
      </c>
      <c r="B251" s="2" t="str">
        <f>VLOOKUP(A251,Dataset!A:L,2,FALSE)</f>
        <v>Tim Bauer</v>
      </c>
      <c r="C251" s="2" t="str">
        <f>VLOOKUP(A251,Dataset!A:L,3,FALSE)</f>
        <v>Accessories</v>
      </c>
      <c r="D251" s="2" t="str">
        <f>VLOOKUP(A251,Dataset!A:L,4,FALSE)</f>
        <v>Caps</v>
      </c>
      <c r="E251" s="2">
        <f>VLOOKUP(A251,Dataset!A:L,8,FALSE)</f>
        <v>0</v>
      </c>
      <c r="F251" s="6">
        <f>VLOOKUP(A251,Dataset!A:L,12,FALSE)</f>
        <v>809.89</v>
      </c>
    </row>
    <row r="252" spans="1:6">
      <c r="A252" s="5">
        <v>1250</v>
      </c>
      <c r="B252" s="2" t="str">
        <f>VLOOKUP(A252,Dataset!A:L,2,FALSE)</f>
        <v>Anthony Lee</v>
      </c>
      <c r="C252" s="2" t="str">
        <f>VLOOKUP(A252,Dataset!A:L,3,FALSE)</f>
        <v>Shoes</v>
      </c>
      <c r="D252" s="2" t="str">
        <f>VLOOKUP(A252,Dataset!A:L,4,FALSE)</f>
        <v>Slip-ons</v>
      </c>
      <c r="E252" s="2">
        <f>VLOOKUP(A252,Dataset!A:L,8,FALSE)</f>
        <v>0</v>
      </c>
      <c r="F252" s="6">
        <f>VLOOKUP(A252,Dataset!A:L,12,FALSE)</f>
        <v>1653.07</v>
      </c>
    </row>
    <row r="253" spans="1:6">
      <c r="A253" s="5">
        <v>1251</v>
      </c>
      <c r="B253" s="2" t="str">
        <f>VLOOKUP(A253,Dataset!A:L,2,FALSE)</f>
        <v>Hailey Sullivan</v>
      </c>
      <c r="C253" s="2" t="str">
        <f>VLOOKUP(A253,Dataset!A:L,3,FALSE)</f>
        <v>Dresses</v>
      </c>
      <c r="D253" s="2" t="str">
        <f>VLOOKUP(A253,Dataset!A:L,4,FALSE)</f>
        <v>Casual Midi</v>
      </c>
      <c r="E253" s="2">
        <f>VLOOKUP(A253,Dataset!A:L,8,FALSE)</f>
        <v>3873.12</v>
      </c>
      <c r="F253" s="6">
        <f>VLOOKUP(A253,Dataset!A:L,12,FALSE)</f>
        <v>578.37</v>
      </c>
    </row>
    <row r="254" spans="1:6">
      <c r="A254" s="5">
        <v>1252</v>
      </c>
      <c r="B254" s="2" t="str">
        <f>VLOOKUP(A254,Dataset!A:L,2,FALSE)</f>
        <v>Brandy Clark</v>
      </c>
      <c r="C254" s="2" t="str">
        <f>VLOOKUP(A254,Dataset!A:L,3,FALSE)</f>
        <v>T-Shirts</v>
      </c>
      <c r="D254" s="2" t="str">
        <f>VLOOKUP(A254,Dataset!A:L,4,FALSE)</f>
        <v>Classic Tee</v>
      </c>
      <c r="E254" s="2">
        <f>VLOOKUP(A254,Dataset!A:L,8,FALSE)</f>
        <v>1179.73</v>
      </c>
      <c r="F254" s="6">
        <f>VLOOKUP(A254,Dataset!A:L,12,FALSE)</f>
        <v>1484.7</v>
      </c>
    </row>
    <row r="255" spans="1:6">
      <c r="A255" s="5">
        <v>1253</v>
      </c>
      <c r="B255" s="2" t="str">
        <f>VLOOKUP(A255,Dataset!A:L,2,FALSE)</f>
        <v>Carlos Anderson</v>
      </c>
      <c r="C255" s="2" t="str">
        <f>VLOOKUP(A255,Dataset!A:L,3,FALSE)</f>
        <v>Dresses</v>
      </c>
      <c r="D255" s="2" t="str">
        <f>VLOOKUP(A255,Dataset!A:L,4,FALSE)</f>
        <v>Wrap Dress</v>
      </c>
      <c r="E255" s="2">
        <f>VLOOKUP(A255,Dataset!A:L,8,FALSE)</f>
        <v>0</v>
      </c>
      <c r="F255" s="6">
        <f>VLOOKUP(A255,Dataset!A:L,12,FALSE)</f>
        <v>2512.63</v>
      </c>
    </row>
    <row r="256" spans="1:6">
      <c r="A256" s="5">
        <v>1254</v>
      </c>
      <c r="B256" s="2" t="str">
        <f>VLOOKUP(A256,Dataset!A:L,2,FALSE)</f>
        <v>Michael Henson</v>
      </c>
      <c r="C256" s="2" t="str">
        <f>VLOOKUP(A256,Dataset!A:L,3,FALSE)</f>
        <v>Shoes</v>
      </c>
      <c r="D256" s="2" t="str">
        <f>VLOOKUP(A256,Dataset!A:L,4,FALSE)</f>
        <v>Slip-ons</v>
      </c>
      <c r="E256" s="2">
        <f>VLOOKUP(A256,Dataset!A:L,8,FALSE)</f>
        <v>0</v>
      </c>
      <c r="F256" s="6">
        <f>VLOOKUP(A256,Dataset!A:L,12,FALSE)</f>
        <v>2418.9899999999998</v>
      </c>
    </row>
    <row r="257" spans="1:6">
      <c r="A257" s="5">
        <v>1255</v>
      </c>
      <c r="B257" s="2" t="str">
        <f>VLOOKUP(A257,Dataset!A:L,2,FALSE)</f>
        <v>Kim Campos</v>
      </c>
      <c r="C257" s="2" t="str">
        <f>VLOOKUP(A257,Dataset!A:L,3,FALSE)</f>
        <v>T-Shirts</v>
      </c>
      <c r="D257" s="2" t="str">
        <f>VLOOKUP(A257,Dataset!A:L,4,FALSE)</f>
        <v>Classic Tee</v>
      </c>
      <c r="E257" s="2">
        <f>VLOOKUP(A257,Dataset!A:L,8,FALSE)</f>
        <v>0</v>
      </c>
      <c r="F257" s="6">
        <f>VLOOKUP(A257,Dataset!A:L,12,FALSE)</f>
        <v>-706.09</v>
      </c>
    </row>
    <row r="258" spans="1:6">
      <c r="A258" s="5">
        <v>1256</v>
      </c>
      <c r="B258" s="2" t="str">
        <f>VLOOKUP(A258,Dataset!A:L,2,FALSE)</f>
        <v>Janet Cooley</v>
      </c>
      <c r="C258" s="2" t="str">
        <f>VLOOKUP(A258,Dataset!A:L,3,FALSE)</f>
        <v>Jackets</v>
      </c>
      <c r="D258" s="2" t="str">
        <f>VLOOKUP(A258,Dataset!A:L,4,FALSE)</f>
        <v>Bomber Jacket</v>
      </c>
      <c r="E258" s="2">
        <f>VLOOKUP(A258,Dataset!A:L,8,FALSE)</f>
        <v>0</v>
      </c>
      <c r="F258" s="6">
        <f>VLOOKUP(A258,Dataset!A:L,12,FALSE)</f>
        <v>2071.1</v>
      </c>
    </row>
    <row r="259" spans="1:6">
      <c r="A259" s="5">
        <v>1257</v>
      </c>
      <c r="B259" s="2" t="str">
        <f>VLOOKUP(A259,Dataset!A:L,2,FALSE)</f>
        <v>Mr. Matthew Gomez DDS</v>
      </c>
      <c r="C259" s="2" t="str">
        <f>VLOOKUP(A259,Dataset!A:L,3,FALSE)</f>
        <v>Jeans</v>
      </c>
      <c r="D259" s="2" t="str">
        <f>VLOOKUP(A259,Dataset!A:L,4,FALSE)</f>
        <v>Straight Cut</v>
      </c>
      <c r="E259" s="2">
        <f>VLOOKUP(A259,Dataset!A:L,8,FALSE)</f>
        <v>0</v>
      </c>
      <c r="F259" s="6">
        <f>VLOOKUP(A259,Dataset!A:L,12,FALSE)</f>
        <v>-83.19</v>
      </c>
    </row>
    <row r="260" spans="1:6">
      <c r="A260" s="5">
        <v>1258</v>
      </c>
      <c r="B260" s="2" t="str">
        <f>VLOOKUP(A260,Dataset!A:L,2,FALSE)</f>
        <v>Shane Gomez</v>
      </c>
      <c r="C260" s="2" t="str">
        <f>VLOOKUP(A260,Dataset!A:L,3,FALSE)</f>
        <v>Dresses</v>
      </c>
      <c r="D260" s="2" t="str">
        <f>VLOOKUP(A260,Dataset!A:L,4,FALSE)</f>
        <v>Bodycon</v>
      </c>
      <c r="E260" s="2">
        <f>VLOOKUP(A260,Dataset!A:L,8,FALSE)</f>
        <v>0</v>
      </c>
      <c r="F260" s="6">
        <f>VLOOKUP(A260,Dataset!A:L,12,FALSE)</f>
        <v>2636.96</v>
      </c>
    </row>
    <row r="261" spans="1:6">
      <c r="A261" s="5">
        <v>1259</v>
      </c>
      <c r="B261" s="2" t="str">
        <f>VLOOKUP(A261,Dataset!A:L,2,FALSE)</f>
        <v>Tyler Haney</v>
      </c>
      <c r="C261" s="2" t="str">
        <f>VLOOKUP(A261,Dataset!A:L,3,FALSE)</f>
        <v>Shoes</v>
      </c>
      <c r="D261" s="2" t="str">
        <f>VLOOKUP(A261,Dataset!A:L,4,FALSE)</f>
        <v>Boots</v>
      </c>
      <c r="E261" s="2">
        <f>VLOOKUP(A261,Dataset!A:L,8,FALSE)</f>
        <v>0</v>
      </c>
      <c r="F261" s="6">
        <f>VLOOKUP(A261,Dataset!A:L,12,FALSE)</f>
        <v>-830.5</v>
      </c>
    </row>
    <row r="262" spans="1:6">
      <c r="A262" s="5">
        <v>1260</v>
      </c>
      <c r="B262" s="2" t="str">
        <f>VLOOKUP(A262,Dataset!A:L,2,FALSE)</f>
        <v>Lindsay Haney</v>
      </c>
      <c r="C262" s="2" t="str">
        <f>VLOOKUP(A262,Dataset!A:L,3,FALSE)</f>
        <v>Dresses</v>
      </c>
      <c r="D262" s="2" t="str">
        <f>VLOOKUP(A262,Dataset!A:L,4,FALSE)</f>
        <v>Maxi Dress</v>
      </c>
      <c r="E262" s="2">
        <f>VLOOKUP(A262,Dataset!A:L,8,FALSE)</f>
        <v>0</v>
      </c>
      <c r="F262" s="6">
        <f>VLOOKUP(A262,Dataset!A:L,12,FALSE)</f>
        <v>-817.8</v>
      </c>
    </row>
    <row r="263" spans="1:6">
      <c r="A263" s="5">
        <v>1012</v>
      </c>
      <c r="B263" s="2" t="str">
        <f>VLOOKUP(A263,Dataset!A:L,2,FALSE)</f>
        <v>Valerie Hampton</v>
      </c>
      <c r="C263" s="2" t="str">
        <f>VLOOKUP(A263,Dataset!A:L,3,FALSE)</f>
        <v>Jeans</v>
      </c>
      <c r="D263" s="2" t="str">
        <f>VLOOKUP(A263,Dataset!A:L,4,FALSE)</f>
        <v>Straight Cut</v>
      </c>
      <c r="E263" s="2">
        <f>VLOOKUP(A263,Dataset!A:L,8,FALSE)</f>
        <v>0</v>
      </c>
      <c r="F263" s="6">
        <f>VLOOKUP(A263,Dataset!A:L,12,FALSE)</f>
        <v>843.61</v>
      </c>
    </row>
    <row r="264" spans="1:6">
      <c r="A264" s="5">
        <v>1262</v>
      </c>
      <c r="B264" s="2" t="str">
        <f>VLOOKUP(A264,Dataset!A:L,2,FALSE)</f>
        <v>George Gray</v>
      </c>
      <c r="C264" s="2" t="str">
        <f>VLOOKUP(A264,Dataset!A:L,3,FALSE)</f>
        <v>Accessories</v>
      </c>
      <c r="D264" s="2" t="str">
        <f>VLOOKUP(A264,Dataset!A:L,4,FALSE)</f>
        <v>Watches</v>
      </c>
      <c r="E264" s="2">
        <f>VLOOKUP(A264,Dataset!A:L,8,FALSE)</f>
        <v>0</v>
      </c>
      <c r="F264" s="6">
        <f>VLOOKUP(A264,Dataset!A:L,12,FALSE)</f>
        <v>786.25</v>
      </c>
    </row>
    <row r="265" spans="1:6">
      <c r="A265" s="5">
        <v>1263</v>
      </c>
      <c r="B265" s="2" t="str">
        <f>VLOOKUP(A265,Dataset!A:L,2,FALSE)</f>
        <v>Ryan Graves</v>
      </c>
      <c r="C265" s="2" t="str">
        <f>VLOOKUP(A265,Dataset!A:L,3,FALSE)</f>
        <v>Shoes</v>
      </c>
      <c r="D265" s="2" t="str">
        <f>VLOOKUP(A265,Dataset!A:L,4,FALSE)</f>
        <v>Slip-ons</v>
      </c>
      <c r="E265" s="2">
        <f>VLOOKUP(A265,Dataset!A:L,8,FALSE)</f>
        <v>0</v>
      </c>
      <c r="F265" s="6">
        <f>VLOOKUP(A265,Dataset!A:L,12,FALSE)</f>
        <v>-136.41</v>
      </c>
    </row>
    <row r="266" spans="1:6">
      <c r="A266" s="5">
        <v>1264</v>
      </c>
      <c r="B266" s="2" t="str">
        <f>VLOOKUP(A266,Dataset!A:L,2,FALSE)</f>
        <v>Ernest Myers</v>
      </c>
      <c r="C266" s="2" t="str">
        <f>VLOOKUP(A266,Dataset!A:L,3,FALSE)</f>
        <v>T-Shirts</v>
      </c>
      <c r="D266" s="2" t="str">
        <f>VLOOKUP(A266,Dataset!A:L,4,FALSE)</f>
        <v>Graphic Tee</v>
      </c>
      <c r="E266" s="2">
        <f>VLOOKUP(A266,Dataset!A:L,8,FALSE)</f>
        <v>0</v>
      </c>
      <c r="F266" s="6">
        <f>VLOOKUP(A266,Dataset!A:L,12,FALSE)</f>
        <v>1647.48</v>
      </c>
    </row>
    <row r="267" spans="1:6">
      <c r="A267" s="5">
        <v>1265</v>
      </c>
      <c r="B267" s="2" t="str">
        <f>VLOOKUP(A267,Dataset!A:L,2,FALSE)</f>
        <v>Brandi Lang</v>
      </c>
      <c r="C267" s="2" t="str">
        <f>VLOOKUP(A267,Dataset!A:L,3,FALSE)</f>
        <v>T-Shirts</v>
      </c>
      <c r="D267" s="2" t="str">
        <f>VLOOKUP(A267,Dataset!A:L,4,FALSE)</f>
        <v>Graphic Tee</v>
      </c>
      <c r="E267" s="2">
        <f>VLOOKUP(A267,Dataset!A:L,8,FALSE)</f>
        <v>0</v>
      </c>
      <c r="F267" s="6">
        <f>VLOOKUP(A267,Dataset!A:L,12,FALSE)</f>
        <v>1718.95</v>
      </c>
    </row>
    <row r="268" spans="1:6">
      <c r="A268" s="5">
        <v>1266</v>
      </c>
      <c r="B268" s="2" t="str">
        <f>VLOOKUP(A268,Dataset!A:L,2,FALSE)</f>
        <v>Gloria Barnett</v>
      </c>
      <c r="C268" s="2" t="str">
        <f>VLOOKUP(A268,Dataset!A:L,3,FALSE)</f>
        <v>Shoes</v>
      </c>
      <c r="D268" s="2" t="str">
        <f>VLOOKUP(A268,Dataset!A:L,4,FALSE)</f>
        <v>Slip-ons</v>
      </c>
      <c r="E268" s="2">
        <f>VLOOKUP(A268,Dataset!A:L,8,FALSE)</f>
        <v>0</v>
      </c>
      <c r="F268" s="6">
        <f>VLOOKUP(A268,Dataset!A:L,12,FALSE)</f>
        <v>1024.8599999999999</v>
      </c>
    </row>
    <row r="269" spans="1:6">
      <c r="A269" s="5">
        <v>1267</v>
      </c>
      <c r="B269" s="2" t="str">
        <f>VLOOKUP(A269,Dataset!A:L,2,FALSE)</f>
        <v>Sarah Andrews</v>
      </c>
      <c r="C269" s="2" t="str">
        <f>VLOOKUP(A269,Dataset!A:L,3,FALSE)</f>
        <v>Jackets</v>
      </c>
      <c r="D269" s="2" t="str">
        <f>VLOOKUP(A269,Dataset!A:L,4,FALSE)</f>
        <v>Bomber Jacket</v>
      </c>
      <c r="E269" s="2">
        <f>VLOOKUP(A269,Dataset!A:L,8,FALSE)</f>
        <v>0</v>
      </c>
      <c r="F269" s="6">
        <f>VLOOKUP(A269,Dataset!A:L,12,FALSE)</f>
        <v>650.79999999999995</v>
      </c>
    </row>
    <row r="270" spans="1:6">
      <c r="A270" s="5">
        <v>1268</v>
      </c>
      <c r="B270" s="2" t="str">
        <f>VLOOKUP(A270,Dataset!A:L,2,FALSE)</f>
        <v>Sonya Martinez</v>
      </c>
      <c r="C270" s="2" t="str">
        <f>VLOOKUP(A270,Dataset!A:L,3,FALSE)</f>
        <v>Jackets</v>
      </c>
      <c r="D270" s="2" t="str">
        <f>VLOOKUP(A270,Dataset!A:L,4,FALSE)</f>
        <v>Denim Jacket</v>
      </c>
      <c r="E270" s="2">
        <f>VLOOKUP(A270,Dataset!A:L,8,FALSE)</f>
        <v>0</v>
      </c>
      <c r="F270" s="6">
        <f>VLOOKUP(A270,Dataset!A:L,12,FALSE)</f>
        <v>2668.22</v>
      </c>
    </row>
    <row r="271" spans="1:6">
      <c r="A271" s="5">
        <v>1269</v>
      </c>
      <c r="B271" s="2" t="str">
        <f>VLOOKUP(A271,Dataset!A:L,2,FALSE)</f>
        <v>Brittany Harris</v>
      </c>
      <c r="C271" s="2" t="str">
        <f>VLOOKUP(A271,Dataset!A:L,3,FALSE)</f>
        <v>T-Shirts</v>
      </c>
      <c r="D271" s="2" t="str">
        <f>VLOOKUP(A271,Dataset!A:L,4,FALSE)</f>
        <v>Graphic Tee</v>
      </c>
      <c r="E271" s="2">
        <f>VLOOKUP(A271,Dataset!A:L,8,FALSE)</f>
        <v>0</v>
      </c>
      <c r="F271" s="6">
        <f>VLOOKUP(A271,Dataset!A:L,12,FALSE)</f>
        <v>483.01</v>
      </c>
    </row>
    <row r="272" spans="1:6">
      <c r="A272" s="5">
        <v>1270</v>
      </c>
      <c r="B272" s="2" t="str">
        <f>VLOOKUP(A272,Dataset!A:L,2,FALSE)</f>
        <v>Vanessa Kelley</v>
      </c>
      <c r="C272" s="2" t="str">
        <f>VLOOKUP(A272,Dataset!A:L,3,FALSE)</f>
        <v>T-Shirts</v>
      </c>
      <c r="D272" s="2" t="str">
        <f>VLOOKUP(A272,Dataset!A:L,4,FALSE)</f>
        <v>Graphic Tee</v>
      </c>
      <c r="E272" s="2">
        <f>VLOOKUP(A272,Dataset!A:L,8,FALSE)</f>
        <v>0</v>
      </c>
      <c r="F272" s="6">
        <f>VLOOKUP(A272,Dataset!A:L,12,FALSE)</f>
        <v>-293.05</v>
      </c>
    </row>
    <row r="273" spans="1:6">
      <c r="A273" s="5">
        <v>1271</v>
      </c>
      <c r="B273" s="2" t="str">
        <f>VLOOKUP(A273,Dataset!A:L,2,FALSE)</f>
        <v>Robert Gonzalez</v>
      </c>
      <c r="C273" s="2" t="str">
        <f>VLOOKUP(A273,Dataset!A:L,3,FALSE)</f>
        <v>T-Shirts</v>
      </c>
      <c r="D273" s="2" t="str">
        <f>VLOOKUP(A273,Dataset!A:L,4,FALSE)</f>
        <v>Oversized T-shirt</v>
      </c>
      <c r="E273" s="2">
        <f>VLOOKUP(A273,Dataset!A:L,8,FALSE)</f>
        <v>0</v>
      </c>
      <c r="F273" s="6">
        <f>VLOOKUP(A273,Dataset!A:L,12,FALSE)</f>
        <v>1295.93</v>
      </c>
    </row>
    <row r="274" spans="1:6">
      <c r="A274" s="5">
        <v>1272</v>
      </c>
      <c r="B274" s="2" t="str">
        <f>VLOOKUP(A274,Dataset!A:L,2,FALSE)</f>
        <v>Angela Taylor</v>
      </c>
      <c r="C274" s="2" t="str">
        <f>VLOOKUP(A274,Dataset!A:L,3,FALSE)</f>
        <v>Accessories</v>
      </c>
      <c r="D274" s="2" t="str">
        <f>VLOOKUP(A274,Dataset!A:L,4,FALSE)</f>
        <v>Belts</v>
      </c>
      <c r="E274" s="2">
        <f>VLOOKUP(A274,Dataset!A:L,8,FALSE)</f>
        <v>0</v>
      </c>
      <c r="F274" s="6">
        <f>VLOOKUP(A274,Dataset!A:L,12,FALSE)</f>
        <v>484.51</v>
      </c>
    </row>
    <row r="275" spans="1:6">
      <c r="A275" s="5">
        <v>1273</v>
      </c>
      <c r="B275" s="2" t="str">
        <f>VLOOKUP(A275,Dataset!A:L,2,FALSE)</f>
        <v>Bradley Myers</v>
      </c>
      <c r="C275" s="2" t="str">
        <f>VLOOKUP(A275,Dataset!A:L,3,FALSE)</f>
        <v>T-Shirts</v>
      </c>
      <c r="D275" s="2" t="str">
        <f>VLOOKUP(A275,Dataset!A:L,4,FALSE)</f>
        <v>Oversized T-shirt</v>
      </c>
      <c r="E275" s="2">
        <f>VLOOKUP(A275,Dataset!A:L,8,FALSE)</f>
        <v>0</v>
      </c>
      <c r="F275" s="6">
        <f>VLOOKUP(A275,Dataset!A:L,12,FALSE)</f>
        <v>-431.92</v>
      </c>
    </row>
    <row r="276" spans="1:6">
      <c r="A276" s="5">
        <v>1274</v>
      </c>
      <c r="B276" s="2" t="str">
        <f>VLOOKUP(A276,Dataset!A:L,2,FALSE)</f>
        <v>Russell Love</v>
      </c>
      <c r="C276" s="2" t="str">
        <f>VLOOKUP(A276,Dataset!A:L,3,FALSE)</f>
        <v>Dresses</v>
      </c>
      <c r="D276" s="2" t="str">
        <f>VLOOKUP(A276,Dataset!A:L,4,FALSE)</f>
        <v>Wrap Dress</v>
      </c>
      <c r="E276" s="2">
        <f>VLOOKUP(A276,Dataset!A:L,8,FALSE)</f>
        <v>0</v>
      </c>
      <c r="F276" s="6">
        <f>VLOOKUP(A276,Dataset!A:L,12,FALSE)</f>
        <v>62.98</v>
      </c>
    </row>
    <row r="277" spans="1:6">
      <c r="A277" s="5">
        <v>1275</v>
      </c>
      <c r="B277" s="2" t="str">
        <f>VLOOKUP(A277,Dataset!A:L,2,FALSE)</f>
        <v>Kelly Wong</v>
      </c>
      <c r="C277" s="2" t="str">
        <f>VLOOKUP(A277,Dataset!A:L,3,FALSE)</f>
        <v>Dresses</v>
      </c>
      <c r="D277" s="2" t="str">
        <f>VLOOKUP(A277,Dataset!A:L,4,FALSE)</f>
        <v>Casual Midi</v>
      </c>
      <c r="E277" s="2">
        <f>VLOOKUP(A277,Dataset!A:L,8,FALSE)</f>
        <v>0</v>
      </c>
      <c r="F277" s="6">
        <f>VLOOKUP(A277,Dataset!A:L,12,FALSE)</f>
        <v>2732.47</v>
      </c>
    </row>
    <row r="278" spans="1:6">
      <c r="A278" s="5">
        <v>1276</v>
      </c>
      <c r="B278" s="2" t="str">
        <f>VLOOKUP(A278,Dataset!A:L,2,FALSE)</f>
        <v>Erin Wright</v>
      </c>
      <c r="C278" s="2" t="str">
        <f>VLOOKUP(A278,Dataset!A:L,3,FALSE)</f>
        <v>Shoes</v>
      </c>
      <c r="D278" s="2" t="str">
        <f>VLOOKUP(A278,Dataset!A:L,4,FALSE)</f>
        <v>Boots</v>
      </c>
      <c r="E278" s="2">
        <f>VLOOKUP(A278,Dataset!A:L,8,FALSE)</f>
        <v>0</v>
      </c>
      <c r="F278" s="6">
        <f>VLOOKUP(A278,Dataset!A:L,12,FALSE)</f>
        <v>-869.12</v>
      </c>
    </row>
    <row r="279" spans="1:6">
      <c r="A279" s="5">
        <v>1277</v>
      </c>
      <c r="B279" s="2" t="str">
        <f>VLOOKUP(A279,Dataset!A:L,2,FALSE)</f>
        <v>Michael Coleman</v>
      </c>
      <c r="C279" s="2" t="str">
        <f>VLOOKUP(A279,Dataset!A:L,3,FALSE)</f>
        <v>Accessories</v>
      </c>
      <c r="D279" s="2" t="str">
        <f>VLOOKUP(A279,Dataset!A:L,4,FALSE)</f>
        <v>Sunglasses</v>
      </c>
      <c r="E279" s="2">
        <f>VLOOKUP(A279,Dataset!A:L,8,FALSE)</f>
        <v>4059.65</v>
      </c>
      <c r="F279" s="6">
        <f>VLOOKUP(A279,Dataset!A:L,12,FALSE)</f>
        <v>1255.6600000000001</v>
      </c>
    </row>
    <row r="280" spans="1:6">
      <c r="A280" s="5">
        <v>1278</v>
      </c>
      <c r="B280" s="2" t="str">
        <f>VLOOKUP(A280,Dataset!A:L,2,FALSE)</f>
        <v>Jessica Kirby</v>
      </c>
      <c r="C280" s="2" t="str">
        <f>VLOOKUP(A280,Dataset!A:L,3,FALSE)</f>
        <v>Accessories</v>
      </c>
      <c r="D280" s="2" t="str">
        <f>VLOOKUP(A280,Dataset!A:L,4,FALSE)</f>
        <v>Sunglasses</v>
      </c>
      <c r="E280" s="2">
        <f>VLOOKUP(A280,Dataset!A:L,8,FALSE)</f>
        <v>0</v>
      </c>
      <c r="F280" s="6">
        <f>VLOOKUP(A280,Dataset!A:L,12,FALSE)</f>
        <v>466.53</v>
      </c>
    </row>
    <row r="281" spans="1:6">
      <c r="A281" s="5">
        <v>1279</v>
      </c>
      <c r="B281" s="2" t="str">
        <f>VLOOKUP(A281,Dataset!A:L,2,FALSE)</f>
        <v>Laura Romero</v>
      </c>
      <c r="C281" s="2" t="str">
        <f>VLOOKUP(A281,Dataset!A:L,3,FALSE)</f>
        <v>Shoes</v>
      </c>
      <c r="D281" s="2" t="str">
        <f>VLOOKUP(A281,Dataset!A:L,4,FALSE)</f>
        <v>Boots</v>
      </c>
      <c r="E281" s="2">
        <f>VLOOKUP(A281,Dataset!A:L,8,FALSE)</f>
        <v>0</v>
      </c>
      <c r="F281" s="6">
        <f>VLOOKUP(A281,Dataset!A:L,12,FALSE)</f>
        <v>1430.67</v>
      </c>
    </row>
    <row r="282" spans="1:6">
      <c r="A282" s="5">
        <v>1280</v>
      </c>
      <c r="B282" s="2" t="str">
        <f>VLOOKUP(A282,Dataset!A:L,2,FALSE)</f>
        <v>Joseph Joseph</v>
      </c>
      <c r="C282" s="2" t="str">
        <f>VLOOKUP(A282,Dataset!A:L,3,FALSE)</f>
        <v>T-Shirts</v>
      </c>
      <c r="D282" s="2" t="str">
        <f>VLOOKUP(A282,Dataset!A:L,4,FALSE)</f>
        <v>Crop Top</v>
      </c>
      <c r="E282" s="2">
        <f>VLOOKUP(A282,Dataset!A:L,8,FALSE)</f>
        <v>0</v>
      </c>
      <c r="F282" s="6">
        <f>VLOOKUP(A282,Dataset!A:L,12,FALSE)</f>
        <v>263.41000000000003</v>
      </c>
    </row>
    <row r="283" spans="1:6">
      <c r="A283" s="5">
        <v>1003</v>
      </c>
      <c r="B283" s="2" t="str">
        <f>VLOOKUP(A283,Dataset!A:L,2,FALSE)</f>
        <v>Jay Briggs</v>
      </c>
      <c r="C283" s="2" t="str">
        <f>VLOOKUP(A283,Dataset!A:L,3,FALSE)</f>
        <v>Shoes</v>
      </c>
      <c r="D283" s="2" t="str">
        <f>VLOOKUP(A283,Dataset!A:L,4,FALSE)</f>
        <v>Loafers</v>
      </c>
      <c r="E283" s="2">
        <f>VLOOKUP(A283,Dataset!A:L,8,FALSE)</f>
        <v>0</v>
      </c>
      <c r="F283" s="6">
        <f>VLOOKUP(A283,Dataset!A:L,12,FALSE)</f>
        <v>2296.5</v>
      </c>
    </row>
    <row r="284" spans="1:6">
      <c r="A284" s="5">
        <v>1282</v>
      </c>
      <c r="B284" s="2" t="str">
        <f>VLOOKUP(A284,Dataset!A:L,2,FALSE)</f>
        <v>Kevin Hunter</v>
      </c>
      <c r="C284" s="2" t="str">
        <f>VLOOKUP(A284,Dataset!A:L,3,FALSE)</f>
        <v>Shoes</v>
      </c>
      <c r="D284" s="2" t="str">
        <f>VLOOKUP(A284,Dataset!A:L,4,FALSE)</f>
        <v>Loafers</v>
      </c>
      <c r="E284" s="2">
        <f>VLOOKUP(A284,Dataset!A:L,8,FALSE)</f>
        <v>0</v>
      </c>
      <c r="F284" s="6">
        <f>VLOOKUP(A284,Dataset!A:L,12,FALSE)</f>
        <v>-909.75</v>
      </c>
    </row>
    <row r="285" spans="1:6">
      <c r="A285" s="5">
        <v>1283</v>
      </c>
      <c r="B285" s="2" t="str">
        <f>VLOOKUP(A285,Dataset!A:L,2,FALSE)</f>
        <v>Kelly Gray</v>
      </c>
      <c r="C285" s="2" t="str">
        <f>VLOOKUP(A285,Dataset!A:L,3,FALSE)</f>
        <v>Shoes</v>
      </c>
      <c r="D285" s="2" t="str">
        <f>VLOOKUP(A285,Dataset!A:L,4,FALSE)</f>
        <v>Slip-ons</v>
      </c>
      <c r="E285" s="2">
        <f>VLOOKUP(A285,Dataset!A:L,8,FALSE)</f>
        <v>0</v>
      </c>
      <c r="F285" s="6">
        <f>VLOOKUP(A285,Dataset!A:L,12,FALSE)</f>
        <v>379.24</v>
      </c>
    </row>
    <row r="286" spans="1:6">
      <c r="A286" s="5">
        <v>1284</v>
      </c>
      <c r="B286" s="2" t="str">
        <f>VLOOKUP(A286,Dataset!A:L,2,FALSE)</f>
        <v>Carlos Walsh</v>
      </c>
      <c r="C286" s="2" t="str">
        <f>VLOOKUP(A286,Dataset!A:L,3,FALSE)</f>
        <v>Jackets</v>
      </c>
      <c r="D286" s="2" t="str">
        <f>VLOOKUP(A286,Dataset!A:L,4,FALSE)</f>
        <v>Puffer Coat</v>
      </c>
      <c r="E286" s="2">
        <f>VLOOKUP(A286,Dataset!A:L,8,FALSE)</f>
        <v>0</v>
      </c>
      <c r="F286" s="6">
        <f>VLOOKUP(A286,Dataset!A:L,12,FALSE)</f>
        <v>-348.48</v>
      </c>
    </row>
    <row r="287" spans="1:6">
      <c r="A287" s="5">
        <v>1285</v>
      </c>
      <c r="B287" s="2" t="str">
        <f>VLOOKUP(A287,Dataset!A:L,2,FALSE)</f>
        <v>Deborah Mckee</v>
      </c>
      <c r="C287" s="2" t="str">
        <f>VLOOKUP(A287,Dataset!A:L,3,FALSE)</f>
        <v>Accessories</v>
      </c>
      <c r="D287" s="2" t="str">
        <f>VLOOKUP(A287,Dataset!A:L,4,FALSE)</f>
        <v>Belts</v>
      </c>
      <c r="E287" s="2">
        <f>VLOOKUP(A287,Dataset!A:L,8,FALSE)</f>
        <v>0</v>
      </c>
      <c r="F287" s="6">
        <f>VLOOKUP(A287,Dataset!A:L,12,FALSE)</f>
        <v>2024.84</v>
      </c>
    </row>
    <row r="288" spans="1:6">
      <c r="A288" s="5">
        <v>1286</v>
      </c>
      <c r="B288" s="2" t="str">
        <f>VLOOKUP(A288,Dataset!A:L,2,FALSE)</f>
        <v>Andrew Harmon</v>
      </c>
      <c r="C288" s="2" t="str">
        <f>VLOOKUP(A288,Dataset!A:L,3,FALSE)</f>
        <v>T-Shirts</v>
      </c>
      <c r="D288" s="2" t="str">
        <f>VLOOKUP(A288,Dataset!A:L,4,FALSE)</f>
        <v>Graphic Tee</v>
      </c>
      <c r="E288" s="2">
        <f>VLOOKUP(A288,Dataset!A:L,8,FALSE)</f>
        <v>0</v>
      </c>
      <c r="F288" s="6">
        <f>VLOOKUP(A288,Dataset!A:L,12,FALSE)</f>
        <v>2562.54</v>
      </c>
    </row>
    <row r="289" spans="1:6">
      <c r="A289" s="5">
        <v>1287</v>
      </c>
      <c r="B289" s="2" t="str">
        <f>VLOOKUP(A289,Dataset!A:L,2,FALSE)</f>
        <v>Todd Hall</v>
      </c>
      <c r="C289" s="2" t="str">
        <f>VLOOKUP(A289,Dataset!A:L,3,FALSE)</f>
        <v>Jeans</v>
      </c>
      <c r="D289" s="2" t="str">
        <f>VLOOKUP(A289,Dataset!A:L,4,FALSE)</f>
        <v>Slim Fit Jeans</v>
      </c>
      <c r="E289" s="2">
        <f>VLOOKUP(A289,Dataset!A:L,8,FALSE)</f>
        <v>0</v>
      </c>
      <c r="F289" s="6">
        <f>VLOOKUP(A289,Dataset!A:L,12,FALSE)</f>
        <v>802.66</v>
      </c>
    </row>
    <row r="290" spans="1:6">
      <c r="A290" s="5">
        <v>1288</v>
      </c>
      <c r="B290" s="2" t="str">
        <f>VLOOKUP(A290,Dataset!A:L,2,FALSE)</f>
        <v>Danny Gilbert</v>
      </c>
      <c r="C290" s="2" t="str">
        <f>VLOOKUP(A290,Dataset!A:L,3,FALSE)</f>
        <v>Shoes</v>
      </c>
      <c r="D290" s="2" t="str">
        <f>VLOOKUP(A290,Dataset!A:L,4,FALSE)</f>
        <v>Slip-ons</v>
      </c>
      <c r="E290" s="2">
        <f>VLOOKUP(A290,Dataset!A:L,8,FALSE)</f>
        <v>0</v>
      </c>
      <c r="F290" s="6">
        <f>VLOOKUP(A290,Dataset!A:L,12,FALSE)</f>
        <v>-492.73</v>
      </c>
    </row>
    <row r="291" spans="1:6">
      <c r="A291" s="5">
        <v>1289</v>
      </c>
      <c r="B291" s="2" t="str">
        <f>VLOOKUP(A291,Dataset!A:L,2,FALSE)</f>
        <v>Lauren Johnson</v>
      </c>
      <c r="C291" s="2" t="str">
        <f>VLOOKUP(A291,Dataset!A:L,3,FALSE)</f>
        <v>Jackets</v>
      </c>
      <c r="D291" s="2" t="str">
        <f>VLOOKUP(A291,Dataset!A:L,4,FALSE)</f>
        <v>Denim Jacket</v>
      </c>
      <c r="E291" s="2">
        <f>VLOOKUP(A291,Dataset!A:L,8,FALSE)</f>
        <v>0</v>
      </c>
      <c r="F291" s="6">
        <f>VLOOKUP(A291,Dataset!A:L,12,FALSE)</f>
        <v>2052.5700000000002</v>
      </c>
    </row>
    <row r="292" spans="1:6">
      <c r="A292" s="5">
        <v>1290</v>
      </c>
      <c r="B292" s="2" t="str">
        <f>VLOOKUP(A292,Dataset!A:L,2,FALSE)</f>
        <v>Katherine Parsons</v>
      </c>
      <c r="C292" s="2" t="str">
        <f>VLOOKUP(A292,Dataset!A:L,3,FALSE)</f>
        <v>Jeans</v>
      </c>
      <c r="D292" s="2" t="str">
        <f>VLOOKUP(A292,Dataset!A:L,4,FALSE)</f>
        <v>Slim Fit Jeans</v>
      </c>
      <c r="E292" s="2">
        <f>VLOOKUP(A292,Dataset!A:L,8,FALSE)</f>
        <v>0</v>
      </c>
      <c r="F292" s="6">
        <f>VLOOKUP(A292,Dataset!A:L,12,FALSE)</f>
        <v>430.92</v>
      </c>
    </row>
    <row r="293" spans="1:6">
      <c r="A293" s="5">
        <v>1291</v>
      </c>
      <c r="B293" s="2" t="str">
        <f>VLOOKUP(A293,Dataset!A:L,2,FALSE)</f>
        <v>Jason Calhoun</v>
      </c>
      <c r="C293" s="2" t="str">
        <f>VLOOKUP(A293,Dataset!A:L,3,FALSE)</f>
        <v>Jackets</v>
      </c>
      <c r="D293" s="2" t="str">
        <f>VLOOKUP(A293,Dataset!A:L,4,FALSE)</f>
        <v>Puffer Coat</v>
      </c>
      <c r="E293" s="2">
        <f>VLOOKUP(A293,Dataset!A:L,8,FALSE)</f>
        <v>0</v>
      </c>
      <c r="F293" s="6">
        <f>VLOOKUP(A293,Dataset!A:L,12,FALSE)</f>
        <v>1073.44</v>
      </c>
    </row>
    <row r="294" spans="1:6">
      <c r="A294" s="5">
        <v>1292</v>
      </c>
      <c r="B294" s="2" t="str">
        <f>VLOOKUP(A294,Dataset!A:L,2,FALSE)</f>
        <v>Amy Howard</v>
      </c>
      <c r="C294" s="2" t="str">
        <f>VLOOKUP(A294,Dataset!A:L,3,FALSE)</f>
        <v>Dresses</v>
      </c>
      <c r="D294" s="2" t="str">
        <f>VLOOKUP(A294,Dataset!A:L,4,FALSE)</f>
        <v>Maxi Dress</v>
      </c>
      <c r="E294" s="2">
        <f>VLOOKUP(A294,Dataset!A:L,8,FALSE)</f>
        <v>0</v>
      </c>
      <c r="F294" s="6">
        <f>VLOOKUP(A294,Dataset!A:L,12,FALSE)</f>
        <v>1165.8599999999999</v>
      </c>
    </row>
    <row r="295" spans="1:6">
      <c r="A295" s="5">
        <v>1293</v>
      </c>
      <c r="B295" s="2" t="str">
        <f>VLOOKUP(A295,Dataset!A:L,2,FALSE)</f>
        <v>Cindy Hall</v>
      </c>
      <c r="C295" s="2" t="str">
        <f>VLOOKUP(A295,Dataset!A:L,3,FALSE)</f>
        <v>Jackets</v>
      </c>
      <c r="D295" s="2" t="str">
        <f>VLOOKUP(A295,Dataset!A:L,4,FALSE)</f>
        <v>Denim Jacket</v>
      </c>
      <c r="E295" s="2">
        <f>VLOOKUP(A295,Dataset!A:L,8,FALSE)</f>
        <v>0</v>
      </c>
      <c r="F295" s="6">
        <f>VLOOKUP(A295,Dataset!A:L,12,FALSE)</f>
        <v>2073.16</v>
      </c>
    </row>
    <row r="296" spans="1:6">
      <c r="A296" s="5">
        <v>1294</v>
      </c>
      <c r="B296" s="2" t="str">
        <f>VLOOKUP(A296,Dataset!A:L,2,FALSE)</f>
        <v>Jeff Hernandez</v>
      </c>
      <c r="C296" s="2" t="str">
        <f>VLOOKUP(A296,Dataset!A:L,3,FALSE)</f>
        <v>Accessories</v>
      </c>
      <c r="D296" s="2" t="str">
        <f>VLOOKUP(A296,Dataset!A:L,4,FALSE)</f>
        <v>Watches</v>
      </c>
      <c r="E296" s="2">
        <f>VLOOKUP(A296,Dataset!A:L,8,FALSE)</f>
        <v>0</v>
      </c>
      <c r="F296" s="6">
        <f>VLOOKUP(A296,Dataset!A:L,12,FALSE)</f>
        <v>898.24</v>
      </c>
    </row>
    <row r="297" spans="1:6">
      <c r="A297" s="5">
        <v>1295</v>
      </c>
      <c r="B297" s="2" t="str">
        <f>VLOOKUP(A297,Dataset!A:L,2,FALSE)</f>
        <v>Tiffany Maxwell</v>
      </c>
      <c r="C297" s="2" t="str">
        <f>VLOOKUP(A297,Dataset!A:L,3,FALSE)</f>
        <v>Jackets</v>
      </c>
      <c r="D297" s="2" t="str">
        <f>VLOOKUP(A297,Dataset!A:L,4,FALSE)</f>
        <v>Leather Jacket</v>
      </c>
      <c r="E297" s="2">
        <f>VLOOKUP(A297,Dataset!A:L,8,FALSE)</f>
        <v>0</v>
      </c>
      <c r="F297" s="6">
        <f>VLOOKUP(A297,Dataset!A:L,12,FALSE)</f>
        <v>2967.72</v>
      </c>
    </row>
    <row r="298" spans="1:6">
      <c r="A298" s="5">
        <v>1296</v>
      </c>
      <c r="B298" s="2" t="str">
        <f>VLOOKUP(A298,Dataset!A:L,2,FALSE)</f>
        <v>Lori Orozco</v>
      </c>
      <c r="C298" s="2" t="str">
        <f>VLOOKUP(A298,Dataset!A:L,3,FALSE)</f>
        <v>Jeans</v>
      </c>
      <c r="D298" s="2" t="str">
        <f>VLOOKUP(A298,Dataset!A:L,4,FALSE)</f>
        <v>Slim Fit Jeans</v>
      </c>
      <c r="E298" s="2">
        <f>VLOOKUP(A298,Dataset!A:L,8,FALSE)</f>
        <v>0</v>
      </c>
      <c r="F298" s="6">
        <f>VLOOKUP(A298,Dataset!A:L,12,FALSE)</f>
        <v>1438.47</v>
      </c>
    </row>
    <row r="299" spans="1:6">
      <c r="A299" s="5">
        <v>1297</v>
      </c>
      <c r="B299" s="2" t="str">
        <f>VLOOKUP(A299,Dataset!A:L,2,FALSE)</f>
        <v>Sharon Combs</v>
      </c>
      <c r="C299" s="2" t="str">
        <f>VLOOKUP(A299,Dataset!A:L,3,FALSE)</f>
        <v>Jackets</v>
      </c>
      <c r="D299" s="2" t="str">
        <f>VLOOKUP(A299,Dataset!A:L,4,FALSE)</f>
        <v>Puffer Coat</v>
      </c>
      <c r="E299" s="2">
        <f>VLOOKUP(A299,Dataset!A:L,8,FALSE)</f>
        <v>0</v>
      </c>
      <c r="F299" s="6">
        <f>VLOOKUP(A299,Dataset!A:L,12,FALSE)</f>
        <v>1637.33</v>
      </c>
    </row>
    <row r="300" spans="1:6">
      <c r="A300" s="5">
        <v>1298</v>
      </c>
      <c r="B300" s="2" t="str">
        <f>VLOOKUP(A300,Dataset!A:L,2,FALSE)</f>
        <v>Dylan Newton</v>
      </c>
      <c r="C300" s="2" t="str">
        <f>VLOOKUP(A300,Dataset!A:L,3,FALSE)</f>
        <v>T-Shirts</v>
      </c>
      <c r="D300" s="2" t="str">
        <f>VLOOKUP(A300,Dataset!A:L,4,FALSE)</f>
        <v>Graphic Tee</v>
      </c>
      <c r="E300" s="2">
        <f>VLOOKUP(A300,Dataset!A:L,8,FALSE)</f>
        <v>0</v>
      </c>
      <c r="F300" s="6">
        <f>VLOOKUP(A300,Dataset!A:L,12,FALSE)</f>
        <v>2490.23</v>
      </c>
    </row>
    <row r="301" spans="1:6">
      <c r="A301" s="5">
        <v>1299</v>
      </c>
      <c r="B301" s="2" t="str">
        <f>VLOOKUP(A301,Dataset!A:L,2,FALSE)</f>
        <v>John Levine</v>
      </c>
      <c r="C301" s="2" t="str">
        <f>VLOOKUP(A301,Dataset!A:L,3,FALSE)</f>
        <v>Jackets</v>
      </c>
      <c r="D301" s="2" t="str">
        <f>VLOOKUP(A301,Dataset!A:L,4,FALSE)</f>
        <v>Denim Jacket</v>
      </c>
      <c r="E301" s="2">
        <f>VLOOKUP(A301,Dataset!A:L,8,FALSE)</f>
        <v>0</v>
      </c>
      <c r="F301" s="6">
        <f>VLOOKUP(A301,Dataset!A:L,12,FALSE)</f>
        <v>1178.3699999999999</v>
      </c>
    </row>
    <row r="302" spans="1:6">
      <c r="A302" s="5">
        <v>1300</v>
      </c>
      <c r="B302" s="2" t="str">
        <f>VLOOKUP(A302,Dataset!A:L,2,FALSE)</f>
        <v>Latoya Johnson</v>
      </c>
      <c r="C302" s="2" t="str">
        <f>VLOOKUP(A302,Dataset!A:L,3,FALSE)</f>
        <v>Jeans</v>
      </c>
      <c r="D302" s="2" t="str">
        <f>VLOOKUP(A302,Dataset!A:L,4,FALSE)</f>
        <v>Slim Fit Jeans</v>
      </c>
      <c r="E302" s="2">
        <f>VLOOKUP(A302,Dataset!A:L,8,FALSE)</f>
        <v>0</v>
      </c>
      <c r="F302" s="6">
        <f>VLOOKUP(A302,Dataset!A:L,12,FALSE)</f>
        <v>703.48</v>
      </c>
    </row>
    <row r="303" spans="1:6">
      <c r="A303" s="5">
        <v>1047</v>
      </c>
      <c r="B303" s="2" t="str">
        <f>VLOOKUP(A303,Dataset!A:L,2,FALSE)</f>
        <v>Matthew Thompson</v>
      </c>
      <c r="C303" s="2" t="str">
        <f>VLOOKUP(A303,Dataset!A:L,3,FALSE)</f>
        <v>Jeans</v>
      </c>
      <c r="D303" s="2" t="str">
        <f>VLOOKUP(A303,Dataset!A:L,4,FALSE)</f>
        <v>Straight Cut</v>
      </c>
      <c r="E303" s="2">
        <f>VLOOKUP(A303,Dataset!A:L,8,FALSE)</f>
        <v>0</v>
      </c>
      <c r="F303" s="6">
        <f>VLOOKUP(A303,Dataset!A:L,12,FALSE)</f>
        <v>-395.76</v>
      </c>
    </row>
    <row r="304" spans="1:6">
      <c r="A304" s="5">
        <v>1302</v>
      </c>
      <c r="B304" s="2" t="str">
        <f>VLOOKUP(A304,Dataset!A:L,2,FALSE)</f>
        <v>Adam Bryan</v>
      </c>
      <c r="C304" s="2" t="str">
        <f>VLOOKUP(A304,Dataset!A:L,3,FALSE)</f>
        <v>Jeans</v>
      </c>
      <c r="D304" s="2" t="str">
        <f>VLOOKUP(A304,Dataset!A:L,4,FALSE)</f>
        <v>Ripped Denim</v>
      </c>
      <c r="E304" s="2">
        <f>VLOOKUP(A304,Dataset!A:L,8,FALSE)</f>
        <v>0</v>
      </c>
      <c r="F304" s="6">
        <f>VLOOKUP(A304,Dataset!A:L,12,FALSE)</f>
        <v>339.17</v>
      </c>
    </row>
    <row r="305" spans="1:6">
      <c r="A305" s="5">
        <v>1303</v>
      </c>
      <c r="B305" s="2" t="str">
        <f>VLOOKUP(A305,Dataset!A:L,2,FALSE)</f>
        <v>Laura Smith</v>
      </c>
      <c r="C305" s="2" t="str">
        <f>VLOOKUP(A305,Dataset!A:L,3,FALSE)</f>
        <v>Jeans</v>
      </c>
      <c r="D305" s="2" t="str">
        <f>VLOOKUP(A305,Dataset!A:L,4,FALSE)</f>
        <v>Straight Cut</v>
      </c>
      <c r="E305" s="2">
        <f>VLOOKUP(A305,Dataset!A:L,8,FALSE)</f>
        <v>0</v>
      </c>
      <c r="F305" s="6">
        <f>VLOOKUP(A305,Dataset!A:L,12,FALSE)</f>
        <v>505.33</v>
      </c>
    </row>
    <row r="306" spans="1:6">
      <c r="A306" s="5">
        <v>1047</v>
      </c>
      <c r="B306" s="2" t="str">
        <f>VLOOKUP(A306,Dataset!A:L,2,FALSE)</f>
        <v>Matthew Thompson</v>
      </c>
      <c r="C306" s="2" t="str">
        <f>VLOOKUP(A306,Dataset!A:L,3,FALSE)</f>
        <v>Jeans</v>
      </c>
      <c r="D306" s="2" t="str">
        <f>VLOOKUP(A306,Dataset!A:L,4,FALSE)</f>
        <v>Straight Cut</v>
      </c>
      <c r="E306" s="2">
        <f>VLOOKUP(A306,Dataset!A:L,8,FALSE)</f>
        <v>0</v>
      </c>
      <c r="F306" s="6">
        <f>VLOOKUP(A306,Dataset!A:L,12,FALSE)</f>
        <v>-395.76</v>
      </c>
    </row>
    <row r="307" spans="1:6">
      <c r="A307" s="5">
        <v>1305</v>
      </c>
      <c r="B307" s="2" t="str">
        <f>VLOOKUP(A307,Dataset!A:L,2,FALSE)</f>
        <v>Kelsey Stein</v>
      </c>
      <c r="C307" s="2" t="str">
        <f>VLOOKUP(A307,Dataset!A:L,3,FALSE)</f>
        <v>Jackets</v>
      </c>
      <c r="D307" s="2" t="str">
        <f>VLOOKUP(A307,Dataset!A:L,4,FALSE)</f>
        <v>Bomber Jacket</v>
      </c>
      <c r="E307" s="2">
        <f>VLOOKUP(A307,Dataset!A:L,8,FALSE)</f>
        <v>0</v>
      </c>
      <c r="F307" s="6">
        <f>VLOOKUP(A307,Dataset!A:L,12,FALSE)</f>
        <v>2861.3</v>
      </c>
    </row>
    <row r="308" spans="1:6">
      <c r="A308" s="5">
        <v>1306</v>
      </c>
      <c r="B308" s="2" t="str">
        <f>VLOOKUP(A308,Dataset!A:L,2,FALSE)</f>
        <v>Aaron Johnson</v>
      </c>
      <c r="C308" s="2" t="str">
        <f>VLOOKUP(A308,Dataset!A:L,3,FALSE)</f>
        <v>Accessories</v>
      </c>
      <c r="D308" s="2" t="str">
        <f>VLOOKUP(A308,Dataset!A:L,4,FALSE)</f>
        <v>Belts</v>
      </c>
      <c r="E308" s="2">
        <f>VLOOKUP(A308,Dataset!A:L,8,FALSE)</f>
        <v>0</v>
      </c>
      <c r="F308" s="6">
        <f>VLOOKUP(A308,Dataset!A:L,12,FALSE)</f>
        <v>99.1</v>
      </c>
    </row>
    <row r="309" spans="1:6">
      <c r="A309" s="5">
        <v>1307</v>
      </c>
      <c r="B309" s="2" t="str">
        <f>VLOOKUP(A309,Dataset!A:L,2,FALSE)</f>
        <v>Amber Lee</v>
      </c>
      <c r="C309" s="2" t="str">
        <f>VLOOKUP(A309,Dataset!A:L,3,FALSE)</f>
        <v>Dresses</v>
      </c>
      <c r="D309" s="2" t="str">
        <f>VLOOKUP(A309,Dataset!A:L,4,FALSE)</f>
        <v>Maxi Dress</v>
      </c>
      <c r="E309" s="2">
        <f>VLOOKUP(A309,Dataset!A:L,8,FALSE)</f>
        <v>0</v>
      </c>
      <c r="F309" s="6">
        <f>VLOOKUP(A309,Dataset!A:L,12,FALSE)</f>
        <v>642</v>
      </c>
    </row>
    <row r="310" spans="1:6">
      <c r="A310" s="5">
        <v>1308</v>
      </c>
      <c r="B310" s="2" t="str">
        <f>VLOOKUP(A310,Dataset!A:L,2,FALSE)</f>
        <v>Michael Joseph</v>
      </c>
      <c r="C310" s="2" t="str">
        <f>VLOOKUP(A310,Dataset!A:L,3,FALSE)</f>
        <v>Dresses</v>
      </c>
      <c r="D310" s="2" t="str">
        <f>VLOOKUP(A310,Dataset!A:L,4,FALSE)</f>
        <v>Bodycon</v>
      </c>
      <c r="E310" s="2">
        <f>VLOOKUP(A310,Dataset!A:L,8,FALSE)</f>
        <v>0</v>
      </c>
      <c r="F310" s="6">
        <f>VLOOKUP(A310,Dataset!A:L,12,FALSE)</f>
        <v>464.65</v>
      </c>
    </row>
    <row r="311" spans="1:6">
      <c r="A311" s="5">
        <v>1309</v>
      </c>
      <c r="B311" s="2" t="str">
        <f>VLOOKUP(A311,Dataset!A:L,2,FALSE)</f>
        <v>Tina Brown</v>
      </c>
      <c r="C311" s="2" t="str">
        <f>VLOOKUP(A311,Dataset!A:L,3,FALSE)</f>
        <v>Accessories</v>
      </c>
      <c r="D311" s="2" t="str">
        <f>VLOOKUP(A311,Dataset!A:L,4,FALSE)</f>
        <v>Caps</v>
      </c>
      <c r="E311" s="2">
        <f>VLOOKUP(A311,Dataset!A:L,8,FALSE)</f>
        <v>0</v>
      </c>
      <c r="F311" s="6">
        <f>VLOOKUP(A311,Dataset!A:L,12,FALSE)</f>
        <v>481.45</v>
      </c>
    </row>
    <row r="312" spans="1:6">
      <c r="A312" s="5">
        <v>1310</v>
      </c>
      <c r="B312" s="2" t="str">
        <f>VLOOKUP(A312,Dataset!A:L,2,FALSE)</f>
        <v>Thomas Smith</v>
      </c>
      <c r="C312" s="2" t="str">
        <f>VLOOKUP(A312,Dataset!A:L,3,FALSE)</f>
        <v>Dresses</v>
      </c>
      <c r="D312" s="2" t="str">
        <f>VLOOKUP(A312,Dataset!A:L,4,FALSE)</f>
        <v>Maxi Dress</v>
      </c>
      <c r="E312" s="2">
        <f>VLOOKUP(A312,Dataset!A:L,8,FALSE)</f>
        <v>0</v>
      </c>
      <c r="F312" s="6">
        <f>VLOOKUP(A312,Dataset!A:L,12,FALSE)</f>
        <v>1516.35</v>
      </c>
    </row>
    <row r="313" spans="1:6">
      <c r="A313" s="5">
        <v>1311</v>
      </c>
      <c r="B313" s="2" t="str">
        <f>VLOOKUP(A313,Dataset!A:L,2,FALSE)</f>
        <v>Jennifer Watson</v>
      </c>
      <c r="C313" s="2" t="str">
        <f>VLOOKUP(A313,Dataset!A:L,3,FALSE)</f>
        <v>Jackets</v>
      </c>
      <c r="D313" s="2" t="str">
        <f>VLOOKUP(A313,Dataset!A:L,4,FALSE)</f>
        <v>Bomber Jacket</v>
      </c>
      <c r="E313" s="2">
        <f>VLOOKUP(A313,Dataset!A:L,8,FALSE)</f>
        <v>0</v>
      </c>
      <c r="F313" s="6">
        <f>VLOOKUP(A313,Dataset!A:L,12,FALSE)</f>
        <v>-109.19</v>
      </c>
    </row>
    <row r="314" spans="1:6">
      <c r="A314" s="5">
        <v>1312</v>
      </c>
      <c r="B314" s="2" t="str">
        <f>VLOOKUP(A314,Dataset!A:L,2,FALSE)</f>
        <v>Wendy Garcia</v>
      </c>
      <c r="C314" s="2" t="str">
        <f>VLOOKUP(A314,Dataset!A:L,3,FALSE)</f>
        <v>Accessories</v>
      </c>
      <c r="D314" s="2" t="str">
        <f>VLOOKUP(A314,Dataset!A:L,4,FALSE)</f>
        <v>Sunglasses</v>
      </c>
      <c r="E314" s="2">
        <f>VLOOKUP(A314,Dataset!A:L,8,FALSE)</f>
        <v>0</v>
      </c>
      <c r="F314" s="6">
        <f>VLOOKUP(A314,Dataset!A:L,12,FALSE)</f>
        <v>-646.16</v>
      </c>
    </row>
    <row r="315" spans="1:6">
      <c r="A315" s="5">
        <v>1313</v>
      </c>
      <c r="B315" s="2" t="str">
        <f>VLOOKUP(A315,Dataset!A:L,2,FALSE)</f>
        <v>Sean Pope</v>
      </c>
      <c r="C315" s="2" t="str">
        <f>VLOOKUP(A315,Dataset!A:L,3,FALSE)</f>
        <v>Accessories</v>
      </c>
      <c r="D315" s="2" t="str">
        <f>VLOOKUP(A315,Dataset!A:L,4,FALSE)</f>
        <v>Watches</v>
      </c>
      <c r="E315" s="2">
        <f>VLOOKUP(A315,Dataset!A:L,8,FALSE)</f>
        <v>0</v>
      </c>
      <c r="F315" s="6">
        <f>VLOOKUP(A315,Dataset!A:L,12,FALSE)</f>
        <v>-581.35</v>
      </c>
    </row>
    <row r="316" spans="1:6">
      <c r="A316" s="5">
        <v>1314</v>
      </c>
      <c r="B316" s="2" t="str">
        <f>VLOOKUP(A316,Dataset!A:L,2,FALSE)</f>
        <v>Brad Mccarty</v>
      </c>
      <c r="C316" s="2" t="str">
        <f>VLOOKUP(A316,Dataset!A:L,3,FALSE)</f>
        <v>Shoes</v>
      </c>
      <c r="D316" s="2" t="str">
        <f>VLOOKUP(A316,Dataset!A:L,4,FALSE)</f>
        <v>Slip-ons</v>
      </c>
      <c r="E316" s="2">
        <f>VLOOKUP(A316,Dataset!A:L,8,FALSE)</f>
        <v>0</v>
      </c>
      <c r="F316" s="6">
        <f>VLOOKUP(A316,Dataset!A:L,12,FALSE)</f>
        <v>1148.06</v>
      </c>
    </row>
    <row r="317" spans="1:6">
      <c r="A317" s="5">
        <v>1315</v>
      </c>
      <c r="B317" s="2" t="str">
        <f>VLOOKUP(A317,Dataset!A:L,2,FALSE)</f>
        <v>Mark Gonzales</v>
      </c>
      <c r="C317" s="2" t="str">
        <f>VLOOKUP(A317,Dataset!A:L,3,FALSE)</f>
        <v>Jeans</v>
      </c>
      <c r="D317" s="2" t="str">
        <f>VLOOKUP(A317,Dataset!A:L,4,FALSE)</f>
        <v>Boyfriend Jeans</v>
      </c>
      <c r="E317" s="2">
        <f>VLOOKUP(A317,Dataset!A:L,8,FALSE)</f>
        <v>0</v>
      </c>
      <c r="F317" s="6">
        <f>VLOOKUP(A317,Dataset!A:L,12,FALSE)</f>
        <v>-279.01</v>
      </c>
    </row>
    <row r="318" spans="1:6">
      <c r="A318" s="5">
        <v>1316</v>
      </c>
      <c r="B318" s="2" t="str">
        <f>VLOOKUP(A318,Dataset!A:L,2,FALSE)</f>
        <v>Theresa Wiggins</v>
      </c>
      <c r="C318" s="2" t="str">
        <f>VLOOKUP(A318,Dataset!A:L,3,FALSE)</f>
        <v>T-Shirts</v>
      </c>
      <c r="D318" s="2" t="str">
        <f>VLOOKUP(A318,Dataset!A:L,4,FALSE)</f>
        <v>Crop Top</v>
      </c>
      <c r="E318" s="2">
        <f>VLOOKUP(A318,Dataset!A:L,8,FALSE)</f>
        <v>0</v>
      </c>
      <c r="F318" s="6">
        <f>VLOOKUP(A318,Dataset!A:L,12,FALSE)</f>
        <v>-177.6</v>
      </c>
    </row>
    <row r="319" spans="1:6">
      <c r="A319" s="5">
        <v>1317</v>
      </c>
      <c r="B319" s="2" t="str">
        <f>VLOOKUP(A319,Dataset!A:L,2,FALSE)</f>
        <v>Mitchell Gomez</v>
      </c>
      <c r="C319" s="2" t="str">
        <f>VLOOKUP(A319,Dataset!A:L,3,FALSE)</f>
        <v>Accessories</v>
      </c>
      <c r="D319" s="2" t="str">
        <f>VLOOKUP(A319,Dataset!A:L,4,FALSE)</f>
        <v>Watches</v>
      </c>
      <c r="E319" s="2">
        <f>VLOOKUP(A319,Dataset!A:L,8,FALSE)</f>
        <v>0</v>
      </c>
      <c r="F319" s="6">
        <f>VLOOKUP(A319,Dataset!A:L,12,FALSE)</f>
        <v>-476.45</v>
      </c>
    </row>
    <row r="320" spans="1:6">
      <c r="A320" s="5">
        <v>1318</v>
      </c>
      <c r="B320" s="2" t="str">
        <f>VLOOKUP(A320,Dataset!A:L,2,FALSE)</f>
        <v>Tony Reynolds</v>
      </c>
      <c r="C320" s="2" t="str">
        <f>VLOOKUP(A320,Dataset!A:L,3,FALSE)</f>
        <v>Accessories</v>
      </c>
      <c r="D320" s="2" t="str">
        <f>VLOOKUP(A320,Dataset!A:L,4,FALSE)</f>
        <v>Belts</v>
      </c>
      <c r="E320" s="2">
        <f>VLOOKUP(A320,Dataset!A:L,8,FALSE)</f>
        <v>0</v>
      </c>
      <c r="F320" s="6">
        <f>VLOOKUP(A320,Dataset!A:L,12,FALSE)</f>
        <v>1830.14</v>
      </c>
    </row>
    <row r="321" spans="1:6">
      <c r="A321" s="5">
        <v>1319</v>
      </c>
      <c r="B321" s="2" t="str">
        <f>VLOOKUP(A321,Dataset!A:L,2,FALSE)</f>
        <v>Kristine Byrd</v>
      </c>
      <c r="C321" s="2" t="str">
        <f>VLOOKUP(A321,Dataset!A:L,3,FALSE)</f>
        <v>Dresses</v>
      </c>
      <c r="D321" s="2" t="str">
        <f>VLOOKUP(A321,Dataset!A:L,4,FALSE)</f>
        <v>Bodycon</v>
      </c>
      <c r="E321" s="2">
        <f>VLOOKUP(A321,Dataset!A:L,8,FALSE)</f>
        <v>0</v>
      </c>
      <c r="F321" s="6">
        <f>VLOOKUP(A321,Dataset!A:L,12,FALSE)</f>
        <v>-66.17</v>
      </c>
    </row>
    <row r="322" spans="1:6">
      <c r="A322" s="5">
        <v>1320</v>
      </c>
      <c r="B322" s="2" t="str">
        <f>VLOOKUP(A322,Dataset!A:L,2,FALSE)</f>
        <v>Mark Murray</v>
      </c>
      <c r="C322" s="2" t="str">
        <f>VLOOKUP(A322,Dataset!A:L,3,FALSE)</f>
        <v>Accessories</v>
      </c>
      <c r="D322" s="2" t="str">
        <f>VLOOKUP(A322,Dataset!A:L,4,FALSE)</f>
        <v>Belts</v>
      </c>
      <c r="E322" s="2">
        <f>VLOOKUP(A322,Dataset!A:L,8,FALSE)</f>
        <v>0</v>
      </c>
      <c r="F322" s="6">
        <f>VLOOKUP(A322,Dataset!A:L,12,FALSE)</f>
        <v>2011.4</v>
      </c>
    </row>
    <row r="323" spans="1:6">
      <c r="A323" s="5">
        <v>1321</v>
      </c>
      <c r="B323" s="2" t="str">
        <f>VLOOKUP(A323,Dataset!A:L,2,FALSE)</f>
        <v>Michael Velazquez</v>
      </c>
      <c r="C323" s="2" t="str">
        <f>VLOOKUP(A323,Dataset!A:L,3,FALSE)</f>
        <v>Jackets</v>
      </c>
      <c r="D323" s="2" t="str">
        <f>VLOOKUP(A323,Dataset!A:L,4,FALSE)</f>
        <v>Leather Jacket</v>
      </c>
      <c r="E323" s="2">
        <f>VLOOKUP(A323,Dataset!A:L,8,FALSE)</f>
        <v>0</v>
      </c>
      <c r="F323" s="6">
        <f>VLOOKUP(A323,Dataset!A:L,12,FALSE)</f>
        <v>632.23</v>
      </c>
    </row>
    <row r="324" spans="1:6">
      <c r="A324" s="5">
        <v>1322</v>
      </c>
      <c r="B324" s="2" t="str">
        <f>VLOOKUP(A324,Dataset!A:L,2,FALSE)</f>
        <v>Lori Benson</v>
      </c>
      <c r="C324" s="2" t="str">
        <f>VLOOKUP(A324,Dataset!A:L,3,FALSE)</f>
        <v>T-Shirts</v>
      </c>
      <c r="D324" s="2" t="str">
        <f>VLOOKUP(A324,Dataset!A:L,4,FALSE)</f>
        <v>Classic Tee</v>
      </c>
      <c r="E324" s="2">
        <f>VLOOKUP(A324,Dataset!A:L,8,FALSE)</f>
        <v>0</v>
      </c>
      <c r="F324" s="6">
        <f>VLOOKUP(A324,Dataset!A:L,12,FALSE)</f>
        <v>822.46</v>
      </c>
    </row>
    <row r="325" spans="1:6">
      <c r="A325" s="5">
        <v>1323</v>
      </c>
      <c r="B325" s="2" t="str">
        <f>VLOOKUP(A325,Dataset!A:L,2,FALSE)</f>
        <v>Kimberly Flores</v>
      </c>
      <c r="C325" s="2" t="str">
        <f>VLOOKUP(A325,Dataset!A:L,3,FALSE)</f>
        <v>Jackets</v>
      </c>
      <c r="D325" s="2" t="str">
        <f>VLOOKUP(A325,Dataset!A:L,4,FALSE)</f>
        <v>Puffer Coat</v>
      </c>
      <c r="E325" s="2">
        <f>VLOOKUP(A325,Dataset!A:L,8,FALSE)</f>
        <v>0</v>
      </c>
      <c r="F325" s="6">
        <f>VLOOKUP(A325,Dataset!A:L,12,FALSE)</f>
        <v>-96.6</v>
      </c>
    </row>
    <row r="326" spans="1:6">
      <c r="A326" s="5">
        <v>1324</v>
      </c>
      <c r="B326" s="2" t="str">
        <f>VLOOKUP(A326,Dataset!A:L,2,FALSE)</f>
        <v>Mike Rhodes</v>
      </c>
      <c r="C326" s="2" t="str">
        <f>VLOOKUP(A326,Dataset!A:L,3,FALSE)</f>
        <v>Jackets</v>
      </c>
      <c r="D326" s="2" t="str">
        <f>VLOOKUP(A326,Dataset!A:L,4,FALSE)</f>
        <v>Bomber Jacket</v>
      </c>
      <c r="E326" s="2">
        <f>VLOOKUP(A326,Dataset!A:L,8,FALSE)</f>
        <v>0</v>
      </c>
      <c r="F326" s="6">
        <f>VLOOKUP(A326,Dataset!A:L,12,FALSE)</f>
        <v>-610.52</v>
      </c>
    </row>
    <row r="327" spans="1:6">
      <c r="A327" s="5">
        <v>1325</v>
      </c>
      <c r="B327" s="2" t="str">
        <f>VLOOKUP(A327,Dataset!A:L,2,FALSE)</f>
        <v>Teresa Gilbert</v>
      </c>
      <c r="C327" s="2" t="str">
        <f>VLOOKUP(A327,Dataset!A:L,3,FALSE)</f>
        <v>Jeans</v>
      </c>
      <c r="D327" s="2" t="str">
        <f>VLOOKUP(A327,Dataset!A:L,4,FALSE)</f>
        <v>Ripped Denim</v>
      </c>
      <c r="E327" s="2">
        <f>VLOOKUP(A327,Dataset!A:L,8,FALSE)</f>
        <v>0</v>
      </c>
      <c r="F327" s="6">
        <f>VLOOKUP(A327,Dataset!A:L,12,FALSE)</f>
        <v>1435.03</v>
      </c>
    </row>
    <row r="328" spans="1:6">
      <c r="A328" s="5">
        <v>1326</v>
      </c>
      <c r="B328" s="2" t="str">
        <f>VLOOKUP(A328,Dataset!A:L,2,FALSE)</f>
        <v>Theodore Sanchez</v>
      </c>
      <c r="C328" s="2" t="str">
        <f>VLOOKUP(A328,Dataset!A:L,3,FALSE)</f>
        <v>Dresses</v>
      </c>
      <c r="D328" s="2" t="str">
        <f>VLOOKUP(A328,Dataset!A:L,4,FALSE)</f>
        <v>Casual Midi</v>
      </c>
      <c r="E328" s="2">
        <f>VLOOKUP(A328,Dataset!A:L,8,FALSE)</f>
        <v>0</v>
      </c>
      <c r="F328" s="6">
        <f>VLOOKUP(A328,Dataset!A:L,12,FALSE)</f>
        <v>1404.45</v>
      </c>
    </row>
    <row r="329" spans="1:6">
      <c r="A329" s="5">
        <v>1327</v>
      </c>
      <c r="B329" s="2" t="str">
        <f>VLOOKUP(A329,Dataset!A:L,2,FALSE)</f>
        <v>Sarah Sosa</v>
      </c>
      <c r="C329" s="2" t="str">
        <f>VLOOKUP(A329,Dataset!A:L,3,FALSE)</f>
        <v>Shoes</v>
      </c>
      <c r="D329" s="2" t="str">
        <f>VLOOKUP(A329,Dataset!A:L,4,FALSE)</f>
        <v>Slip-ons</v>
      </c>
      <c r="E329" s="2">
        <f>VLOOKUP(A329,Dataset!A:L,8,FALSE)</f>
        <v>0</v>
      </c>
      <c r="F329" s="6">
        <f>VLOOKUP(A329,Dataset!A:L,12,FALSE)</f>
        <v>2021.54</v>
      </c>
    </row>
    <row r="330" spans="1:6">
      <c r="A330" s="5">
        <v>1328</v>
      </c>
      <c r="B330" s="2" t="str">
        <f>VLOOKUP(A330,Dataset!A:L,2,FALSE)</f>
        <v>Christine Drake</v>
      </c>
      <c r="C330" s="2" t="str">
        <f>VLOOKUP(A330,Dataset!A:L,3,FALSE)</f>
        <v>Shoes</v>
      </c>
      <c r="D330" s="2" t="str">
        <f>VLOOKUP(A330,Dataset!A:L,4,FALSE)</f>
        <v>Boots</v>
      </c>
      <c r="E330" s="2">
        <f>VLOOKUP(A330,Dataset!A:L,8,FALSE)</f>
        <v>5720.42</v>
      </c>
      <c r="F330" s="6">
        <f>VLOOKUP(A330,Dataset!A:L,12,FALSE)</f>
        <v>2269.54</v>
      </c>
    </row>
    <row r="331" spans="1:6">
      <c r="A331" s="5">
        <v>1329</v>
      </c>
      <c r="B331" s="2" t="str">
        <f>VLOOKUP(A331,Dataset!A:L,2,FALSE)</f>
        <v>Eric Medina</v>
      </c>
      <c r="C331" s="2" t="str">
        <f>VLOOKUP(A331,Dataset!A:L,3,FALSE)</f>
        <v>T-Shirts</v>
      </c>
      <c r="D331" s="2" t="str">
        <f>VLOOKUP(A331,Dataset!A:L,4,FALSE)</f>
        <v>Graphic Tee</v>
      </c>
      <c r="E331" s="2">
        <f>VLOOKUP(A331,Dataset!A:L,8,FALSE)</f>
        <v>0</v>
      </c>
      <c r="F331" s="6">
        <f>VLOOKUP(A331,Dataset!A:L,12,FALSE)</f>
        <v>1667.02</v>
      </c>
    </row>
    <row r="332" spans="1:6">
      <c r="A332" s="5">
        <v>1330</v>
      </c>
      <c r="B332" s="2" t="str">
        <f>VLOOKUP(A332,Dataset!A:L,2,FALSE)</f>
        <v>Joseph Sims</v>
      </c>
      <c r="C332" s="2" t="str">
        <f>VLOOKUP(A332,Dataset!A:L,3,FALSE)</f>
        <v>Dresses</v>
      </c>
      <c r="D332" s="2" t="str">
        <f>VLOOKUP(A332,Dataset!A:L,4,FALSE)</f>
        <v>Maxi Dress</v>
      </c>
      <c r="E332" s="2">
        <f>VLOOKUP(A332,Dataset!A:L,8,FALSE)</f>
        <v>0</v>
      </c>
      <c r="F332" s="6">
        <f>VLOOKUP(A332,Dataset!A:L,12,FALSE)</f>
        <v>-587.38</v>
      </c>
    </row>
    <row r="333" spans="1:6">
      <c r="A333" s="5">
        <v>1331</v>
      </c>
      <c r="B333" s="2" t="str">
        <f>VLOOKUP(A333,Dataset!A:L,2,FALSE)</f>
        <v>Gwendolyn Guerrero</v>
      </c>
      <c r="C333" s="2" t="str">
        <f>VLOOKUP(A333,Dataset!A:L,3,FALSE)</f>
        <v>Accessories</v>
      </c>
      <c r="D333" s="2" t="str">
        <f>VLOOKUP(A333,Dataset!A:L,4,FALSE)</f>
        <v>Belts</v>
      </c>
      <c r="E333" s="2">
        <f>VLOOKUP(A333,Dataset!A:L,8,FALSE)</f>
        <v>0</v>
      </c>
      <c r="F333" s="6">
        <f>VLOOKUP(A333,Dataset!A:L,12,FALSE)</f>
        <v>1301.18</v>
      </c>
    </row>
    <row r="334" spans="1:6">
      <c r="A334" s="5">
        <v>1332</v>
      </c>
      <c r="B334" s="2" t="str">
        <f>VLOOKUP(A334,Dataset!A:L,2,FALSE)</f>
        <v>Chelsea Brown</v>
      </c>
      <c r="C334" s="2" t="str">
        <f>VLOOKUP(A334,Dataset!A:L,3,FALSE)</f>
        <v>T-Shirts</v>
      </c>
      <c r="D334" s="2" t="str">
        <f>VLOOKUP(A334,Dataset!A:L,4,FALSE)</f>
        <v>Graphic Tee</v>
      </c>
      <c r="E334" s="2">
        <f>VLOOKUP(A334,Dataset!A:L,8,FALSE)</f>
        <v>0</v>
      </c>
      <c r="F334" s="6">
        <f>VLOOKUP(A334,Dataset!A:L,12,FALSE)</f>
        <v>2301.09</v>
      </c>
    </row>
    <row r="335" spans="1:6">
      <c r="A335" s="5">
        <v>1028</v>
      </c>
      <c r="B335" s="2" t="str">
        <f>VLOOKUP(A335,Dataset!A:L,2,FALSE)</f>
        <v>Felicia Orozco</v>
      </c>
      <c r="C335" s="2" t="str">
        <f>VLOOKUP(A335,Dataset!A:L,3,FALSE)</f>
        <v>T-Shirts</v>
      </c>
      <c r="D335" s="2" t="str">
        <f>VLOOKUP(A335,Dataset!A:L,4,FALSE)</f>
        <v>Classic Tee</v>
      </c>
      <c r="E335" s="2">
        <f>VLOOKUP(A335,Dataset!A:L,8,FALSE)</f>
        <v>0</v>
      </c>
      <c r="F335" s="6">
        <f>VLOOKUP(A335,Dataset!A:L,12,FALSE)</f>
        <v>2060.0300000000002</v>
      </c>
    </row>
    <row r="336" spans="1:6">
      <c r="A336" s="5">
        <v>1334</v>
      </c>
      <c r="B336" s="2" t="str">
        <f>VLOOKUP(A336,Dataset!A:L,2,FALSE)</f>
        <v>Russell Douglas</v>
      </c>
      <c r="C336" s="2" t="str">
        <f>VLOOKUP(A336,Dataset!A:L,3,FALSE)</f>
        <v>Dresses</v>
      </c>
      <c r="D336" s="2" t="str">
        <f>VLOOKUP(A336,Dataset!A:L,4,FALSE)</f>
        <v>Maxi Dress</v>
      </c>
      <c r="E336" s="2">
        <f>VLOOKUP(A336,Dataset!A:L,8,FALSE)</f>
        <v>0</v>
      </c>
      <c r="F336" s="6">
        <f>VLOOKUP(A336,Dataset!A:L,12,FALSE)</f>
        <v>652.87</v>
      </c>
    </row>
    <row r="337" spans="1:6">
      <c r="A337" s="5">
        <v>1335</v>
      </c>
      <c r="B337" s="2" t="str">
        <f>VLOOKUP(A337,Dataset!A:L,2,FALSE)</f>
        <v>Kristen Drake</v>
      </c>
      <c r="C337" s="2" t="str">
        <f>VLOOKUP(A337,Dataset!A:L,3,FALSE)</f>
        <v>Shoes</v>
      </c>
      <c r="D337" s="2" t="str">
        <f>VLOOKUP(A337,Dataset!A:L,4,FALSE)</f>
        <v>Slip-ons</v>
      </c>
      <c r="E337" s="2">
        <f>VLOOKUP(A337,Dataset!A:L,8,FALSE)</f>
        <v>0</v>
      </c>
      <c r="F337" s="6">
        <f>VLOOKUP(A337,Dataset!A:L,12,FALSE)</f>
        <v>-815.88</v>
      </c>
    </row>
    <row r="338" spans="1:6">
      <c r="A338" s="5">
        <v>1336</v>
      </c>
      <c r="B338" s="2" t="str">
        <f>VLOOKUP(A338,Dataset!A:L,2,FALSE)</f>
        <v>Katie Brown</v>
      </c>
      <c r="C338" s="2" t="str">
        <f>VLOOKUP(A338,Dataset!A:L,3,FALSE)</f>
        <v>Jackets</v>
      </c>
      <c r="D338" s="2" t="str">
        <f>VLOOKUP(A338,Dataset!A:L,4,FALSE)</f>
        <v>Denim Jacket</v>
      </c>
      <c r="E338" s="2">
        <f>VLOOKUP(A338,Dataset!A:L,8,FALSE)</f>
        <v>0</v>
      </c>
      <c r="F338" s="6">
        <f>VLOOKUP(A338,Dataset!A:L,12,FALSE)</f>
        <v>2000.91</v>
      </c>
    </row>
    <row r="339" spans="1:6">
      <c r="A339" s="5">
        <v>1337</v>
      </c>
      <c r="B339" s="2" t="str">
        <f>VLOOKUP(A339,Dataset!A:L,2,FALSE)</f>
        <v>Michelle Russell</v>
      </c>
      <c r="C339" s="2" t="str">
        <f>VLOOKUP(A339,Dataset!A:L,3,FALSE)</f>
        <v>Jackets</v>
      </c>
      <c r="D339" s="2" t="str">
        <f>VLOOKUP(A339,Dataset!A:L,4,FALSE)</f>
        <v>Denim Jacket</v>
      </c>
      <c r="E339" s="2">
        <f>VLOOKUP(A339,Dataset!A:L,8,FALSE)</f>
        <v>-3704.42</v>
      </c>
      <c r="F339" s="6">
        <f>VLOOKUP(A339,Dataset!A:L,12,FALSE)</f>
        <v>716.16</v>
      </c>
    </row>
    <row r="340" spans="1:6">
      <c r="A340" s="5">
        <v>1338</v>
      </c>
      <c r="B340" s="2" t="str">
        <f>VLOOKUP(A340,Dataset!A:L,2,FALSE)</f>
        <v>Charles Aguilar</v>
      </c>
      <c r="C340" s="2" t="str">
        <f>VLOOKUP(A340,Dataset!A:L,3,FALSE)</f>
        <v>T-Shirts</v>
      </c>
      <c r="D340" s="2" t="str">
        <f>VLOOKUP(A340,Dataset!A:L,4,FALSE)</f>
        <v>Graphic Tee</v>
      </c>
      <c r="E340" s="2">
        <f>VLOOKUP(A340,Dataset!A:L,8,FALSE)</f>
        <v>0</v>
      </c>
      <c r="F340" s="6">
        <f>VLOOKUP(A340,Dataset!A:L,12,FALSE)</f>
        <v>415.06</v>
      </c>
    </row>
    <row r="341" spans="1:6">
      <c r="A341" s="5">
        <v>1339</v>
      </c>
      <c r="B341" s="2" t="str">
        <f>VLOOKUP(A341,Dataset!A:L,2,FALSE)</f>
        <v>Emily Christensen</v>
      </c>
      <c r="C341" s="2" t="str">
        <f>VLOOKUP(A341,Dataset!A:L,3,FALSE)</f>
        <v>Dresses</v>
      </c>
      <c r="D341" s="2" t="str">
        <f>VLOOKUP(A341,Dataset!A:L,4,FALSE)</f>
        <v>Maxi Dress</v>
      </c>
      <c r="E341" s="2">
        <f>VLOOKUP(A341,Dataset!A:L,8,FALSE)</f>
        <v>0</v>
      </c>
      <c r="F341" s="6">
        <f>VLOOKUP(A341,Dataset!A:L,12,FALSE)</f>
        <v>2552.65</v>
      </c>
    </row>
    <row r="342" spans="1:6">
      <c r="A342" s="5">
        <v>1340</v>
      </c>
      <c r="B342" s="2" t="str">
        <f>VLOOKUP(A342,Dataset!A:L,2,FALSE)</f>
        <v>Annette Robinson</v>
      </c>
      <c r="C342" s="2" t="str">
        <f>VLOOKUP(A342,Dataset!A:L,3,FALSE)</f>
        <v>Jeans</v>
      </c>
      <c r="D342" s="2" t="str">
        <f>VLOOKUP(A342,Dataset!A:L,4,FALSE)</f>
        <v>Straight Cut</v>
      </c>
      <c r="E342" s="2">
        <f>VLOOKUP(A342,Dataset!A:L,8,FALSE)</f>
        <v>0</v>
      </c>
      <c r="F342" s="6">
        <f>VLOOKUP(A342,Dataset!A:L,12,FALSE)</f>
        <v>1282.27</v>
      </c>
    </row>
    <row r="343" spans="1:6">
      <c r="A343" s="5">
        <v>1341</v>
      </c>
      <c r="B343" s="2" t="str">
        <f>VLOOKUP(A343,Dataset!A:L,2,FALSE)</f>
        <v>William White</v>
      </c>
      <c r="C343" s="2" t="str">
        <f>VLOOKUP(A343,Dataset!A:L,3,FALSE)</f>
        <v>Shoes</v>
      </c>
      <c r="D343" s="2" t="str">
        <f>VLOOKUP(A343,Dataset!A:L,4,FALSE)</f>
        <v>Slip-ons</v>
      </c>
      <c r="E343" s="2">
        <f>VLOOKUP(A343,Dataset!A:L,8,FALSE)</f>
        <v>737.77</v>
      </c>
      <c r="F343" s="6">
        <f>VLOOKUP(A343,Dataset!A:L,12,FALSE)</f>
        <v>2634.42</v>
      </c>
    </row>
    <row r="344" spans="1:6">
      <c r="A344" s="5">
        <v>1342</v>
      </c>
      <c r="B344" s="2" t="str">
        <f>VLOOKUP(A344,Dataset!A:L,2,FALSE)</f>
        <v>Chloe Martinez</v>
      </c>
      <c r="C344" s="2" t="str">
        <f>VLOOKUP(A344,Dataset!A:L,3,FALSE)</f>
        <v>Dresses</v>
      </c>
      <c r="D344" s="2" t="str">
        <f>VLOOKUP(A344,Dataset!A:L,4,FALSE)</f>
        <v>Wrap Dress</v>
      </c>
      <c r="E344" s="2">
        <f>VLOOKUP(A344,Dataset!A:L,8,FALSE)</f>
        <v>0</v>
      </c>
      <c r="F344" s="6">
        <f>VLOOKUP(A344,Dataset!A:L,12,FALSE)</f>
        <v>1395.82</v>
      </c>
    </row>
    <row r="345" spans="1:6">
      <c r="A345" s="5">
        <v>1343</v>
      </c>
      <c r="B345" s="2" t="str">
        <f>VLOOKUP(A345,Dataset!A:L,2,FALSE)</f>
        <v>Catherine Barnett</v>
      </c>
      <c r="C345" s="2" t="str">
        <f>VLOOKUP(A345,Dataset!A:L,3,FALSE)</f>
        <v>Jeans</v>
      </c>
      <c r="D345" s="2" t="str">
        <f>VLOOKUP(A345,Dataset!A:L,4,FALSE)</f>
        <v>Ripped Denim</v>
      </c>
      <c r="E345" s="2">
        <f>VLOOKUP(A345,Dataset!A:L,8,FALSE)</f>
        <v>0</v>
      </c>
      <c r="F345" s="6">
        <f>VLOOKUP(A345,Dataset!A:L,12,FALSE)</f>
        <v>730.98</v>
      </c>
    </row>
    <row r="346" spans="1:6">
      <c r="A346" s="5">
        <v>1344</v>
      </c>
      <c r="B346" s="2" t="str">
        <f>VLOOKUP(A346,Dataset!A:L,2,FALSE)</f>
        <v>Jason Dixon</v>
      </c>
      <c r="C346" s="2" t="str">
        <f>VLOOKUP(A346,Dataset!A:L,3,FALSE)</f>
        <v>Jeans</v>
      </c>
      <c r="D346" s="2" t="str">
        <f>VLOOKUP(A346,Dataset!A:L,4,FALSE)</f>
        <v>Straight Cut</v>
      </c>
      <c r="E346" s="2">
        <f>VLOOKUP(A346,Dataset!A:L,8,FALSE)</f>
        <v>0</v>
      </c>
      <c r="F346" s="6">
        <f>VLOOKUP(A346,Dataset!A:L,12,FALSE)</f>
        <v>2006.17</v>
      </c>
    </row>
    <row r="347" spans="1:6">
      <c r="A347" s="5">
        <v>1040</v>
      </c>
      <c r="B347" s="2" t="str">
        <f>VLOOKUP(A347,Dataset!A:L,2,FALSE)</f>
        <v>Angel Nelson</v>
      </c>
      <c r="C347" s="2" t="str">
        <f>VLOOKUP(A347,Dataset!A:L,3,FALSE)</f>
        <v>Jackets</v>
      </c>
      <c r="D347" s="2" t="str">
        <f>VLOOKUP(A347,Dataset!A:L,4,FALSE)</f>
        <v>Denim Jacket</v>
      </c>
      <c r="E347" s="2">
        <f>VLOOKUP(A347,Dataset!A:L,8,FALSE)</f>
        <v>0</v>
      </c>
      <c r="F347" s="6">
        <f>VLOOKUP(A347,Dataset!A:L,12,FALSE)</f>
        <v>693.6</v>
      </c>
    </row>
    <row r="348" spans="1:6">
      <c r="A348" s="5">
        <v>1346</v>
      </c>
      <c r="B348" s="2" t="str">
        <f>VLOOKUP(A348,Dataset!A:L,2,FALSE)</f>
        <v>Leah Gonzalez</v>
      </c>
      <c r="C348" s="2" t="str">
        <f>VLOOKUP(A348,Dataset!A:L,3,FALSE)</f>
        <v>Shoes</v>
      </c>
      <c r="D348" s="2" t="str">
        <f>VLOOKUP(A348,Dataset!A:L,4,FALSE)</f>
        <v>Slip-ons</v>
      </c>
      <c r="E348" s="2">
        <f>VLOOKUP(A348,Dataset!A:L,8,FALSE)</f>
        <v>0</v>
      </c>
      <c r="F348" s="6">
        <f>VLOOKUP(A348,Dataset!A:L,12,FALSE)</f>
        <v>-891.76</v>
      </c>
    </row>
    <row r="349" spans="1:6">
      <c r="A349" s="5">
        <v>1005</v>
      </c>
      <c r="B349" s="2" t="str">
        <f>VLOOKUP(A349,Dataset!A:L,2,FALSE)</f>
        <v>Samuel Miller</v>
      </c>
      <c r="C349" s="2" t="str">
        <f>VLOOKUP(A349,Dataset!A:L,3,FALSE)</f>
        <v>T-Shirts</v>
      </c>
      <c r="D349" s="2" t="str">
        <f>VLOOKUP(A349,Dataset!A:L,4,FALSE)</f>
        <v>Crop Top</v>
      </c>
      <c r="E349" s="2">
        <f>VLOOKUP(A349,Dataset!A:L,8,FALSE)</f>
        <v>0</v>
      </c>
      <c r="F349" s="6">
        <f>VLOOKUP(A349,Dataset!A:L,12,FALSE)</f>
        <v>1477.73</v>
      </c>
    </row>
    <row r="350" spans="1:6">
      <c r="A350" s="5">
        <v>1348</v>
      </c>
      <c r="B350" s="2" t="str">
        <f>VLOOKUP(A350,Dataset!A:L,2,FALSE)</f>
        <v>Justin Bowen</v>
      </c>
      <c r="C350" s="2" t="str">
        <f>VLOOKUP(A350,Dataset!A:L,3,FALSE)</f>
        <v>T-Shirts</v>
      </c>
      <c r="D350" s="2" t="str">
        <f>VLOOKUP(A350,Dataset!A:L,4,FALSE)</f>
        <v>Classic Tee</v>
      </c>
      <c r="E350" s="2">
        <f>VLOOKUP(A350,Dataset!A:L,8,FALSE)</f>
        <v>-414.53</v>
      </c>
      <c r="F350" s="6">
        <f>VLOOKUP(A350,Dataset!A:L,12,FALSE)</f>
        <v>2694.39</v>
      </c>
    </row>
    <row r="351" spans="1:6">
      <c r="A351" s="5">
        <v>1349</v>
      </c>
      <c r="B351" s="2" t="str">
        <f>VLOOKUP(A351,Dataset!A:L,2,FALSE)</f>
        <v>Lisa Henry</v>
      </c>
      <c r="C351" s="2" t="str">
        <f>VLOOKUP(A351,Dataset!A:L,3,FALSE)</f>
        <v>Jackets</v>
      </c>
      <c r="D351" s="2" t="str">
        <f>VLOOKUP(A351,Dataset!A:L,4,FALSE)</f>
        <v>Leather Jacket</v>
      </c>
      <c r="E351" s="2">
        <f>VLOOKUP(A351,Dataset!A:L,8,FALSE)</f>
        <v>0</v>
      </c>
      <c r="F351" s="6">
        <f>VLOOKUP(A351,Dataset!A:L,12,FALSE)</f>
        <v>2085.75</v>
      </c>
    </row>
    <row r="352" spans="1:6">
      <c r="A352" s="5">
        <v>1008</v>
      </c>
      <c r="B352" s="2" t="str">
        <f>VLOOKUP(A352,Dataset!A:L,2,FALSE)</f>
        <v>Marie Fisher</v>
      </c>
      <c r="C352" s="2" t="str">
        <f>VLOOKUP(A352,Dataset!A:L,3,FALSE)</f>
        <v>Accessories</v>
      </c>
      <c r="D352" s="2" t="str">
        <f>VLOOKUP(A352,Dataset!A:L,4,FALSE)</f>
        <v>Sunglasses</v>
      </c>
      <c r="E352" s="2">
        <f>VLOOKUP(A352,Dataset!A:L,8,FALSE)</f>
        <v>0</v>
      </c>
      <c r="F352" s="6">
        <f>VLOOKUP(A352,Dataset!A:L,12,FALSE)</f>
        <v>-886.8</v>
      </c>
    </row>
    <row r="353" spans="1:6">
      <c r="A353" s="5">
        <v>1351</v>
      </c>
      <c r="B353" s="2" t="str">
        <f>VLOOKUP(A353,Dataset!A:L,2,FALSE)</f>
        <v>Brian Edwards</v>
      </c>
      <c r="C353" s="2" t="str">
        <f>VLOOKUP(A353,Dataset!A:L,3,FALSE)</f>
        <v>Shoes</v>
      </c>
      <c r="D353" s="2" t="str">
        <f>VLOOKUP(A353,Dataset!A:L,4,FALSE)</f>
        <v>Slip-ons</v>
      </c>
      <c r="E353" s="2">
        <f>VLOOKUP(A353,Dataset!A:L,8,FALSE)</f>
        <v>0</v>
      </c>
      <c r="F353" s="6">
        <f>VLOOKUP(A353,Dataset!A:L,12,FALSE)</f>
        <v>2621.66</v>
      </c>
    </row>
    <row r="354" spans="1:6">
      <c r="A354" s="5">
        <v>1034</v>
      </c>
      <c r="B354" s="2" t="str">
        <f>VLOOKUP(A354,Dataset!A:L,2,FALSE)</f>
        <v>Nathan Stewart</v>
      </c>
      <c r="C354" s="2" t="str">
        <f>VLOOKUP(A354,Dataset!A:L,3,FALSE)</f>
        <v>Jackets</v>
      </c>
      <c r="D354" s="2" t="str">
        <f>VLOOKUP(A354,Dataset!A:L,4,FALSE)</f>
        <v>Puffer Coat</v>
      </c>
      <c r="E354" s="2">
        <f>VLOOKUP(A354,Dataset!A:L,8,FALSE)</f>
        <v>0</v>
      </c>
      <c r="F354" s="6">
        <f>VLOOKUP(A354,Dataset!A:L,12,FALSE)</f>
        <v>-282.68</v>
      </c>
    </row>
    <row r="355" spans="1:6">
      <c r="A355" s="5">
        <v>1042</v>
      </c>
      <c r="B355" s="2" t="str">
        <f>VLOOKUP(A355,Dataset!A:L,2,FALSE)</f>
        <v>Richard Williams</v>
      </c>
      <c r="C355" s="2" t="str">
        <f>VLOOKUP(A355,Dataset!A:L,3,FALSE)</f>
        <v>Dresses</v>
      </c>
      <c r="D355" s="2" t="str">
        <f>VLOOKUP(A355,Dataset!A:L,4,FALSE)</f>
        <v>Bodycon</v>
      </c>
      <c r="E355" s="2">
        <f>VLOOKUP(A355,Dataset!A:L,8,FALSE)</f>
        <v>0</v>
      </c>
      <c r="F355" s="6">
        <f>VLOOKUP(A355,Dataset!A:L,12,FALSE)</f>
        <v>283.39</v>
      </c>
    </row>
    <row r="356" spans="1:6">
      <c r="A356" s="5">
        <v>1354</v>
      </c>
      <c r="B356" s="2" t="str">
        <f>VLOOKUP(A356,Dataset!A:L,2,FALSE)</f>
        <v>Mr. George Cooper</v>
      </c>
      <c r="C356" s="2" t="str">
        <f>VLOOKUP(A356,Dataset!A:L,3,FALSE)</f>
        <v>Jeans</v>
      </c>
      <c r="D356" s="2" t="str">
        <f>VLOOKUP(A356,Dataset!A:L,4,FALSE)</f>
        <v>Straight Cut</v>
      </c>
      <c r="E356" s="2">
        <f>VLOOKUP(A356,Dataset!A:L,8,FALSE)</f>
        <v>0</v>
      </c>
      <c r="F356" s="6">
        <f>VLOOKUP(A356,Dataset!A:L,12,FALSE)</f>
        <v>-678.38</v>
      </c>
    </row>
    <row r="357" spans="1:6">
      <c r="A357" s="5">
        <v>1355</v>
      </c>
      <c r="B357" s="2" t="str">
        <f>VLOOKUP(A357,Dataset!A:L,2,FALSE)</f>
        <v>Ryan James</v>
      </c>
      <c r="C357" s="2" t="str">
        <f>VLOOKUP(A357,Dataset!A:L,3,FALSE)</f>
        <v>Dresses</v>
      </c>
      <c r="D357" s="2" t="str">
        <f>VLOOKUP(A357,Dataset!A:L,4,FALSE)</f>
        <v>Bodycon</v>
      </c>
      <c r="E357" s="2">
        <f>VLOOKUP(A357,Dataset!A:L,8,FALSE)</f>
        <v>864.85</v>
      </c>
      <c r="F357" s="6">
        <f>VLOOKUP(A357,Dataset!A:L,12,FALSE)</f>
        <v>698.05</v>
      </c>
    </row>
    <row r="358" spans="1:6">
      <c r="A358" s="5">
        <v>1356</v>
      </c>
      <c r="B358" s="2" t="str">
        <f>VLOOKUP(A358,Dataset!A:L,2,FALSE)</f>
        <v>Veronica Cordova</v>
      </c>
      <c r="C358" s="2" t="str">
        <f>VLOOKUP(A358,Dataset!A:L,3,FALSE)</f>
        <v>Jackets</v>
      </c>
      <c r="D358" s="2" t="str">
        <f>VLOOKUP(A358,Dataset!A:L,4,FALSE)</f>
        <v>Denim Jacket</v>
      </c>
      <c r="E358" s="2">
        <f>VLOOKUP(A358,Dataset!A:L,8,FALSE)</f>
        <v>0</v>
      </c>
      <c r="F358" s="6">
        <f>VLOOKUP(A358,Dataset!A:L,12,FALSE)</f>
        <v>428.96</v>
      </c>
    </row>
    <row r="359" spans="1:6">
      <c r="A359" s="5">
        <v>1357</v>
      </c>
      <c r="B359" s="2" t="str">
        <f>VLOOKUP(A359,Dataset!A:L,2,FALSE)</f>
        <v>Jacob Brooks</v>
      </c>
      <c r="C359" s="2" t="str">
        <f>VLOOKUP(A359,Dataset!A:L,3,FALSE)</f>
        <v>Jackets</v>
      </c>
      <c r="D359" s="2" t="str">
        <f>VLOOKUP(A359,Dataset!A:L,4,FALSE)</f>
        <v>Puffer Coat</v>
      </c>
      <c r="E359" s="2">
        <f>VLOOKUP(A359,Dataset!A:L,8,FALSE)</f>
        <v>0</v>
      </c>
      <c r="F359" s="6">
        <f>VLOOKUP(A359,Dataset!A:L,12,FALSE)</f>
        <v>684.88</v>
      </c>
    </row>
    <row r="360" spans="1:6">
      <c r="A360" s="5">
        <v>1358</v>
      </c>
      <c r="B360" s="2" t="str">
        <f>VLOOKUP(A360,Dataset!A:L,2,FALSE)</f>
        <v>Matthew Brown</v>
      </c>
      <c r="C360" s="2" t="str">
        <f>VLOOKUP(A360,Dataset!A:L,3,FALSE)</f>
        <v>Accessories</v>
      </c>
      <c r="D360" s="2" t="str">
        <f>VLOOKUP(A360,Dataset!A:L,4,FALSE)</f>
        <v>Sunglasses</v>
      </c>
      <c r="E360" s="2">
        <f>VLOOKUP(A360,Dataset!A:L,8,FALSE)</f>
        <v>0</v>
      </c>
      <c r="F360" s="6">
        <f>VLOOKUP(A360,Dataset!A:L,12,FALSE)</f>
        <v>1347.26</v>
      </c>
    </row>
    <row r="361" spans="1:6">
      <c r="A361" s="5">
        <v>1359</v>
      </c>
      <c r="B361" s="2" t="str">
        <f>VLOOKUP(A361,Dataset!A:L,2,FALSE)</f>
        <v>Robert Harmon</v>
      </c>
      <c r="C361" s="2" t="str">
        <f>VLOOKUP(A361,Dataset!A:L,3,FALSE)</f>
        <v>T-Shirts</v>
      </c>
      <c r="D361" s="2" t="str">
        <f>VLOOKUP(A361,Dataset!A:L,4,FALSE)</f>
        <v>Crop Top</v>
      </c>
      <c r="E361" s="2">
        <f>VLOOKUP(A361,Dataset!A:L,8,FALSE)</f>
        <v>0</v>
      </c>
      <c r="F361" s="6">
        <f>VLOOKUP(A361,Dataset!A:L,12,FALSE)</f>
        <v>1663.88</v>
      </c>
    </row>
    <row r="362" spans="1:6">
      <c r="A362" s="5">
        <v>1360</v>
      </c>
      <c r="B362" s="2" t="str">
        <f>VLOOKUP(A362,Dataset!A:L,2,FALSE)</f>
        <v>Rebecca Gonzalez</v>
      </c>
      <c r="C362" s="2" t="str">
        <f>VLOOKUP(A362,Dataset!A:L,3,FALSE)</f>
        <v>Jeans</v>
      </c>
      <c r="D362" s="2" t="str">
        <f>VLOOKUP(A362,Dataset!A:L,4,FALSE)</f>
        <v>Boyfriend Jeans</v>
      </c>
      <c r="E362" s="2">
        <f>VLOOKUP(A362,Dataset!A:L,8,FALSE)</f>
        <v>0</v>
      </c>
      <c r="F362" s="6">
        <f>VLOOKUP(A362,Dataset!A:L,12,FALSE)</f>
        <v>1316.73</v>
      </c>
    </row>
    <row r="363" spans="1:6">
      <c r="A363" s="5">
        <v>1361</v>
      </c>
      <c r="B363" s="2" t="str">
        <f>VLOOKUP(A363,Dataset!A:L,2,FALSE)</f>
        <v>Hannah Ball</v>
      </c>
      <c r="C363" s="2" t="str">
        <f>VLOOKUP(A363,Dataset!A:L,3,FALSE)</f>
        <v>T-Shirts</v>
      </c>
      <c r="D363" s="2" t="str">
        <f>VLOOKUP(A363,Dataset!A:L,4,FALSE)</f>
        <v>Classic Tee</v>
      </c>
      <c r="E363" s="2">
        <f>VLOOKUP(A363,Dataset!A:L,8,FALSE)</f>
        <v>0</v>
      </c>
      <c r="F363" s="6">
        <f>VLOOKUP(A363,Dataset!A:L,12,FALSE)</f>
        <v>528.79999999999995</v>
      </c>
    </row>
    <row r="364" spans="1:6">
      <c r="A364" s="5">
        <v>1362</v>
      </c>
      <c r="B364" s="2" t="str">
        <f>VLOOKUP(A364,Dataset!A:L,2,FALSE)</f>
        <v>Krista Wright</v>
      </c>
      <c r="C364" s="2" t="str">
        <f>VLOOKUP(A364,Dataset!A:L,3,FALSE)</f>
        <v>T-Shirts</v>
      </c>
      <c r="D364" s="2" t="str">
        <f>VLOOKUP(A364,Dataset!A:L,4,FALSE)</f>
        <v>Classic Tee</v>
      </c>
      <c r="E364" s="2">
        <f>VLOOKUP(A364,Dataset!A:L,8,FALSE)</f>
        <v>0</v>
      </c>
      <c r="F364" s="6">
        <f>VLOOKUP(A364,Dataset!A:L,12,FALSE)</f>
        <v>-499.33</v>
      </c>
    </row>
    <row r="365" spans="1:6">
      <c r="A365" s="5">
        <v>1363</v>
      </c>
      <c r="B365" s="2" t="str">
        <f>VLOOKUP(A365,Dataset!A:L,2,FALSE)</f>
        <v>Marcus Powell</v>
      </c>
      <c r="C365" s="2" t="str">
        <f>VLOOKUP(A365,Dataset!A:L,3,FALSE)</f>
        <v>Dresses</v>
      </c>
      <c r="D365" s="2" t="str">
        <f>VLOOKUP(A365,Dataset!A:L,4,FALSE)</f>
        <v>Bodycon</v>
      </c>
      <c r="E365" s="2">
        <f>VLOOKUP(A365,Dataset!A:L,8,FALSE)</f>
        <v>0</v>
      </c>
      <c r="F365" s="6">
        <f>VLOOKUP(A365,Dataset!A:L,12,FALSE)</f>
        <v>2143.4</v>
      </c>
    </row>
    <row r="366" spans="1:6">
      <c r="A366" s="5">
        <v>1364</v>
      </c>
      <c r="B366" s="2" t="str">
        <f>VLOOKUP(A366,Dataset!A:L,2,FALSE)</f>
        <v>Leah Madden</v>
      </c>
      <c r="C366" s="2" t="str">
        <f>VLOOKUP(A366,Dataset!A:L,3,FALSE)</f>
        <v>T-Shirts</v>
      </c>
      <c r="D366" s="2" t="str">
        <f>VLOOKUP(A366,Dataset!A:L,4,FALSE)</f>
        <v>Classic Tee</v>
      </c>
      <c r="E366" s="2">
        <f>VLOOKUP(A366,Dataset!A:L,8,FALSE)</f>
        <v>0</v>
      </c>
      <c r="F366" s="6">
        <f>VLOOKUP(A366,Dataset!A:L,12,FALSE)</f>
        <v>1839.35</v>
      </c>
    </row>
    <row r="367" spans="1:6">
      <c r="A367" s="5">
        <v>1365</v>
      </c>
      <c r="B367" s="2" t="str">
        <f>VLOOKUP(A367,Dataset!A:L,2,FALSE)</f>
        <v>Shawn Gardner</v>
      </c>
      <c r="C367" s="2" t="str">
        <f>VLOOKUP(A367,Dataset!A:L,3,FALSE)</f>
        <v>Dresses</v>
      </c>
      <c r="D367" s="2" t="str">
        <f>VLOOKUP(A367,Dataset!A:L,4,FALSE)</f>
        <v>Maxi Dress</v>
      </c>
      <c r="E367" s="2">
        <f>VLOOKUP(A367,Dataset!A:L,8,FALSE)</f>
        <v>0</v>
      </c>
      <c r="F367" s="6">
        <f>VLOOKUP(A367,Dataset!A:L,12,FALSE)</f>
        <v>2757.77</v>
      </c>
    </row>
    <row r="368" spans="1:6">
      <c r="A368" s="5">
        <v>1366</v>
      </c>
      <c r="B368" s="2" t="str">
        <f>VLOOKUP(A368,Dataset!A:L,2,FALSE)</f>
        <v>Karen Nunez</v>
      </c>
      <c r="C368" s="2" t="str">
        <f>VLOOKUP(A368,Dataset!A:L,3,FALSE)</f>
        <v>Dresses</v>
      </c>
      <c r="D368" s="2" t="str">
        <f>VLOOKUP(A368,Dataset!A:L,4,FALSE)</f>
        <v>Bodycon</v>
      </c>
      <c r="E368" s="2">
        <f>VLOOKUP(A368,Dataset!A:L,8,FALSE)</f>
        <v>0</v>
      </c>
      <c r="F368" s="6">
        <f>VLOOKUP(A368,Dataset!A:L,12,FALSE)</f>
        <v>928.57</v>
      </c>
    </row>
    <row r="369" spans="1:6">
      <c r="A369" s="5">
        <v>1367</v>
      </c>
      <c r="B369" s="2" t="str">
        <f>VLOOKUP(A369,Dataset!A:L,2,FALSE)</f>
        <v>Laura Johnson</v>
      </c>
      <c r="C369" s="2" t="str">
        <f>VLOOKUP(A369,Dataset!A:L,3,FALSE)</f>
        <v>Accessories</v>
      </c>
      <c r="D369" s="2" t="str">
        <f>VLOOKUP(A369,Dataset!A:L,4,FALSE)</f>
        <v>Caps</v>
      </c>
      <c r="E369" s="2">
        <f>VLOOKUP(A369,Dataset!A:L,8,FALSE)</f>
        <v>0</v>
      </c>
      <c r="F369" s="6">
        <f>VLOOKUP(A369,Dataset!A:L,12,FALSE)</f>
        <v>2546.35</v>
      </c>
    </row>
    <row r="370" spans="1:6">
      <c r="A370" s="5">
        <v>1368</v>
      </c>
      <c r="B370" s="2" t="str">
        <f>VLOOKUP(A370,Dataset!A:L,2,FALSE)</f>
        <v>Lauren Kaufman</v>
      </c>
      <c r="C370" s="2" t="str">
        <f>VLOOKUP(A370,Dataset!A:L,3,FALSE)</f>
        <v>T-Shirts</v>
      </c>
      <c r="D370" s="2" t="str">
        <f>VLOOKUP(A370,Dataset!A:L,4,FALSE)</f>
        <v>Classic Tee</v>
      </c>
      <c r="E370" s="2">
        <f>VLOOKUP(A370,Dataset!A:L,8,FALSE)</f>
        <v>0</v>
      </c>
      <c r="F370" s="6">
        <f>VLOOKUP(A370,Dataset!A:L,12,FALSE)</f>
        <v>-20.09</v>
      </c>
    </row>
    <row r="371" spans="1:6">
      <c r="A371" s="5">
        <v>1369</v>
      </c>
      <c r="B371" s="2" t="str">
        <f>VLOOKUP(A371,Dataset!A:L,2,FALSE)</f>
        <v>Patricia Pratt</v>
      </c>
      <c r="C371" s="2" t="str">
        <f>VLOOKUP(A371,Dataset!A:L,3,FALSE)</f>
        <v>Accessories</v>
      </c>
      <c r="D371" s="2" t="str">
        <f>VLOOKUP(A371,Dataset!A:L,4,FALSE)</f>
        <v>Caps</v>
      </c>
      <c r="E371" s="2">
        <f>VLOOKUP(A371,Dataset!A:L,8,FALSE)</f>
        <v>0</v>
      </c>
      <c r="F371" s="6">
        <f>VLOOKUP(A371,Dataset!A:L,12,FALSE)</f>
        <v>-844.78</v>
      </c>
    </row>
    <row r="372" spans="1:6">
      <c r="A372" s="5">
        <v>1370</v>
      </c>
      <c r="B372" s="2" t="str">
        <f>VLOOKUP(A372,Dataset!A:L,2,FALSE)</f>
        <v>Brandon Williams</v>
      </c>
      <c r="C372" s="2" t="str">
        <f>VLOOKUP(A372,Dataset!A:L,3,FALSE)</f>
        <v>Dresses</v>
      </c>
      <c r="D372" s="2" t="str">
        <f>VLOOKUP(A372,Dataset!A:L,4,FALSE)</f>
        <v>Bodycon</v>
      </c>
      <c r="E372" s="2">
        <f>VLOOKUP(A372,Dataset!A:L,8,FALSE)</f>
        <v>844.38</v>
      </c>
      <c r="F372" s="6">
        <f>VLOOKUP(A372,Dataset!A:L,12,FALSE)</f>
        <v>212.66</v>
      </c>
    </row>
    <row r="373" spans="1:6">
      <c r="A373" s="5">
        <v>1371</v>
      </c>
      <c r="B373" s="2" t="str">
        <f>VLOOKUP(A373,Dataset!A:L,2,FALSE)</f>
        <v>Christopher Wilson</v>
      </c>
      <c r="C373" s="2" t="str">
        <f>VLOOKUP(A373,Dataset!A:L,3,FALSE)</f>
        <v>Jeans</v>
      </c>
      <c r="D373" s="2" t="str">
        <f>VLOOKUP(A373,Dataset!A:L,4,FALSE)</f>
        <v>Ripped Denim</v>
      </c>
      <c r="E373" s="2">
        <f>VLOOKUP(A373,Dataset!A:L,8,FALSE)</f>
        <v>0</v>
      </c>
      <c r="F373" s="6">
        <f>VLOOKUP(A373,Dataset!A:L,12,FALSE)</f>
        <v>72.959999999999994</v>
      </c>
    </row>
    <row r="374" spans="1:6">
      <c r="A374" s="5">
        <v>1372</v>
      </c>
      <c r="B374" s="2" t="str">
        <f>VLOOKUP(A374,Dataset!A:L,2,FALSE)</f>
        <v>Ryan Gonzalez</v>
      </c>
      <c r="C374" s="2" t="str">
        <f>VLOOKUP(A374,Dataset!A:L,3,FALSE)</f>
        <v>Accessories</v>
      </c>
      <c r="D374" s="2" t="str">
        <f>VLOOKUP(A374,Dataset!A:L,4,FALSE)</f>
        <v>Sunglasses</v>
      </c>
      <c r="E374" s="2">
        <f>VLOOKUP(A374,Dataset!A:L,8,FALSE)</f>
        <v>0</v>
      </c>
      <c r="F374" s="6">
        <f>VLOOKUP(A374,Dataset!A:L,12,FALSE)</f>
        <v>418.89</v>
      </c>
    </row>
    <row r="375" spans="1:6">
      <c r="A375" s="5">
        <v>1373</v>
      </c>
      <c r="B375" s="2" t="str">
        <f>VLOOKUP(A375,Dataset!A:L,2,FALSE)</f>
        <v>Lisa Morton</v>
      </c>
      <c r="C375" s="2" t="str">
        <f>VLOOKUP(A375,Dataset!A:L,3,FALSE)</f>
        <v>Jackets</v>
      </c>
      <c r="D375" s="2" t="str">
        <f>VLOOKUP(A375,Dataset!A:L,4,FALSE)</f>
        <v>Leather Jacket</v>
      </c>
      <c r="E375" s="2">
        <f>VLOOKUP(A375,Dataset!A:L,8,FALSE)</f>
        <v>-5707.96</v>
      </c>
      <c r="F375" s="6">
        <f>VLOOKUP(A375,Dataset!A:L,12,FALSE)</f>
        <v>-892.76</v>
      </c>
    </row>
    <row r="376" spans="1:6">
      <c r="A376" s="5">
        <v>1374</v>
      </c>
      <c r="B376" s="2" t="str">
        <f>VLOOKUP(A376,Dataset!A:L,2,FALSE)</f>
        <v>Nicholas Lee</v>
      </c>
      <c r="C376" s="2" t="str">
        <f>VLOOKUP(A376,Dataset!A:L,3,FALSE)</f>
        <v>T-Shirts</v>
      </c>
      <c r="D376" s="2" t="str">
        <f>VLOOKUP(A376,Dataset!A:L,4,FALSE)</f>
        <v>Classic Tee</v>
      </c>
      <c r="E376" s="2">
        <f>VLOOKUP(A376,Dataset!A:L,8,FALSE)</f>
        <v>0</v>
      </c>
      <c r="F376" s="6">
        <f>VLOOKUP(A376,Dataset!A:L,12,FALSE)</f>
        <v>2519.16</v>
      </c>
    </row>
    <row r="377" spans="1:6">
      <c r="A377" s="5">
        <v>1375</v>
      </c>
      <c r="B377" s="2" t="str">
        <f>VLOOKUP(A377,Dataset!A:L,2,FALSE)</f>
        <v>Kelly Vang</v>
      </c>
      <c r="C377" s="2" t="str">
        <f>VLOOKUP(A377,Dataset!A:L,3,FALSE)</f>
        <v>Jeans</v>
      </c>
      <c r="D377" s="2" t="str">
        <f>VLOOKUP(A377,Dataset!A:L,4,FALSE)</f>
        <v>Straight Cut</v>
      </c>
      <c r="E377" s="2">
        <f>VLOOKUP(A377,Dataset!A:L,8,FALSE)</f>
        <v>0</v>
      </c>
      <c r="F377" s="6">
        <f>VLOOKUP(A377,Dataset!A:L,12,FALSE)</f>
        <v>1318.19</v>
      </c>
    </row>
    <row r="378" spans="1:6">
      <c r="A378" s="5">
        <v>1376</v>
      </c>
      <c r="B378" s="2" t="str">
        <f>VLOOKUP(A378,Dataset!A:L,2,FALSE)</f>
        <v>Megan Smith</v>
      </c>
      <c r="C378" s="2" t="str">
        <f>VLOOKUP(A378,Dataset!A:L,3,FALSE)</f>
        <v>Accessories</v>
      </c>
      <c r="D378" s="2" t="str">
        <f>VLOOKUP(A378,Dataset!A:L,4,FALSE)</f>
        <v>Caps</v>
      </c>
      <c r="E378" s="2">
        <f>VLOOKUP(A378,Dataset!A:L,8,FALSE)</f>
        <v>0</v>
      </c>
      <c r="F378" s="6">
        <f>VLOOKUP(A378,Dataset!A:L,12,FALSE)</f>
        <v>175.33</v>
      </c>
    </row>
    <row r="379" spans="1:6">
      <c r="A379" s="5">
        <v>1377</v>
      </c>
      <c r="B379" s="2" t="str">
        <f>VLOOKUP(A379,Dataset!A:L,2,FALSE)</f>
        <v>Mark Matthews</v>
      </c>
      <c r="C379" s="2" t="str">
        <f>VLOOKUP(A379,Dataset!A:L,3,FALSE)</f>
        <v>Jackets</v>
      </c>
      <c r="D379" s="2" t="str">
        <f>VLOOKUP(A379,Dataset!A:L,4,FALSE)</f>
        <v>Denim Jacket</v>
      </c>
      <c r="E379" s="2">
        <f>VLOOKUP(A379,Dataset!A:L,8,FALSE)</f>
        <v>0</v>
      </c>
      <c r="F379" s="6">
        <f>VLOOKUP(A379,Dataset!A:L,12,FALSE)</f>
        <v>2229.9499999999998</v>
      </c>
    </row>
    <row r="380" spans="1:6">
      <c r="A380" s="5">
        <v>1378</v>
      </c>
      <c r="B380" s="2" t="str">
        <f>VLOOKUP(A380,Dataset!A:L,2,FALSE)</f>
        <v>Melissa Hale</v>
      </c>
      <c r="C380" s="2" t="str">
        <f>VLOOKUP(A380,Dataset!A:L,3,FALSE)</f>
        <v>Jackets</v>
      </c>
      <c r="D380" s="2" t="str">
        <f>VLOOKUP(A380,Dataset!A:L,4,FALSE)</f>
        <v>Puffer Coat</v>
      </c>
      <c r="E380" s="2">
        <f>VLOOKUP(A380,Dataset!A:L,8,FALSE)</f>
        <v>-4123.13</v>
      </c>
      <c r="F380" s="6">
        <f>VLOOKUP(A380,Dataset!A:L,12,FALSE)</f>
        <v>-345.1</v>
      </c>
    </row>
    <row r="381" spans="1:6">
      <c r="A381" s="5">
        <v>1013</v>
      </c>
      <c r="B381" s="2" t="str">
        <f>VLOOKUP(A381,Dataset!A:L,2,FALSE)</f>
        <v>James Delgado</v>
      </c>
      <c r="C381" s="2" t="str">
        <f>VLOOKUP(A381,Dataset!A:L,3,FALSE)</f>
        <v>T-Shirts</v>
      </c>
      <c r="D381" s="2" t="str">
        <f>VLOOKUP(A381,Dataset!A:L,4,FALSE)</f>
        <v>Crop Top</v>
      </c>
      <c r="E381" s="2">
        <f>VLOOKUP(A381,Dataset!A:L,8,FALSE)</f>
        <v>0</v>
      </c>
      <c r="F381" s="6">
        <f>VLOOKUP(A381,Dataset!A:L,12,FALSE)</f>
        <v>1279.58</v>
      </c>
    </row>
    <row r="382" spans="1:6">
      <c r="A382" s="5">
        <v>1380</v>
      </c>
      <c r="B382" s="2" t="str">
        <f>VLOOKUP(A382,Dataset!A:L,2,FALSE)</f>
        <v>Brittney Branch</v>
      </c>
      <c r="C382" s="2" t="str">
        <f>VLOOKUP(A382,Dataset!A:L,3,FALSE)</f>
        <v>Dresses</v>
      </c>
      <c r="D382" s="2" t="str">
        <f>VLOOKUP(A382,Dataset!A:L,4,FALSE)</f>
        <v>Bodycon</v>
      </c>
      <c r="E382" s="2">
        <f>VLOOKUP(A382,Dataset!A:L,8,FALSE)</f>
        <v>0</v>
      </c>
      <c r="F382" s="6">
        <f>VLOOKUP(A382,Dataset!A:L,12,FALSE)</f>
        <v>-475.94</v>
      </c>
    </row>
    <row r="383" spans="1:6">
      <c r="A383" s="5">
        <v>1381</v>
      </c>
      <c r="B383" s="2" t="str">
        <f>VLOOKUP(A383,Dataset!A:L,2,FALSE)</f>
        <v>Brian Bridges</v>
      </c>
      <c r="C383" s="2" t="str">
        <f>VLOOKUP(A383,Dataset!A:L,3,FALSE)</f>
        <v>Jeans</v>
      </c>
      <c r="D383" s="2" t="str">
        <f>VLOOKUP(A383,Dataset!A:L,4,FALSE)</f>
        <v>Ripped Denim</v>
      </c>
      <c r="E383" s="2">
        <f>VLOOKUP(A383,Dataset!A:L,8,FALSE)</f>
        <v>0</v>
      </c>
      <c r="F383" s="6">
        <f>VLOOKUP(A383,Dataset!A:L,12,FALSE)</f>
        <v>-136.30000000000001</v>
      </c>
    </row>
    <row r="384" spans="1:6">
      <c r="A384" s="5">
        <v>1382</v>
      </c>
      <c r="B384" s="2" t="str">
        <f>VLOOKUP(A384,Dataset!A:L,2,FALSE)</f>
        <v>Jeffery Green</v>
      </c>
      <c r="C384" s="2" t="str">
        <f>VLOOKUP(A384,Dataset!A:L,3,FALSE)</f>
        <v>Jeans</v>
      </c>
      <c r="D384" s="2" t="str">
        <f>VLOOKUP(A384,Dataset!A:L,4,FALSE)</f>
        <v>Boyfriend Jeans</v>
      </c>
      <c r="E384" s="2">
        <f>VLOOKUP(A384,Dataset!A:L,8,FALSE)</f>
        <v>0</v>
      </c>
      <c r="F384" s="6">
        <f>VLOOKUP(A384,Dataset!A:L,12,FALSE)</f>
        <v>-165.59</v>
      </c>
    </row>
    <row r="385" spans="1:6">
      <c r="A385" s="5">
        <v>1383</v>
      </c>
      <c r="B385" s="2" t="str">
        <f>VLOOKUP(A385,Dataset!A:L,2,FALSE)</f>
        <v>Rachel Bradford</v>
      </c>
      <c r="C385" s="2" t="str">
        <f>VLOOKUP(A385,Dataset!A:L,3,FALSE)</f>
        <v>Dresses</v>
      </c>
      <c r="D385" s="2" t="str">
        <f>VLOOKUP(A385,Dataset!A:L,4,FALSE)</f>
        <v>Maxi Dress</v>
      </c>
      <c r="E385" s="2">
        <f>VLOOKUP(A385,Dataset!A:L,8,FALSE)</f>
        <v>0</v>
      </c>
      <c r="F385" s="6">
        <f>VLOOKUP(A385,Dataset!A:L,12,FALSE)</f>
        <v>127.63</v>
      </c>
    </row>
    <row r="386" spans="1:6">
      <c r="A386" s="5">
        <v>1048</v>
      </c>
      <c r="B386" s="2" t="str">
        <f>VLOOKUP(A386,Dataset!A:L,2,FALSE)</f>
        <v>James Hughes</v>
      </c>
      <c r="C386" s="2" t="str">
        <f>VLOOKUP(A386,Dataset!A:L,3,FALSE)</f>
        <v>Jeans</v>
      </c>
      <c r="D386" s="2" t="str">
        <f>VLOOKUP(A386,Dataset!A:L,4,FALSE)</f>
        <v>Straight Cut</v>
      </c>
      <c r="E386" s="2">
        <f>VLOOKUP(A386,Dataset!A:L,8,FALSE)</f>
        <v>0</v>
      </c>
      <c r="F386" s="6">
        <f>VLOOKUP(A386,Dataset!A:L,12,FALSE)</f>
        <v>2409.2600000000002</v>
      </c>
    </row>
    <row r="387" spans="1:6">
      <c r="A387" s="5">
        <v>1385</v>
      </c>
      <c r="B387" s="2" t="str">
        <f>VLOOKUP(A387,Dataset!A:L,2,FALSE)</f>
        <v>Veronica Taylor</v>
      </c>
      <c r="C387" s="2" t="str">
        <f>VLOOKUP(A387,Dataset!A:L,3,FALSE)</f>
        <v>Dresses</v>
      </c>
      <c r="D387" s="2" t="str">
        <f>VLOOKUP(A387,Dataset!A:L,4,FALSE)</f>
        <v>Wrap Dress</v>
      </c>
      <c r="E387" s="2">
        <f>VLOOKUP(A387,Dataset!A:L,8,FALSE)</f>
        <v>0</v>
      </c>
      <c r="F387" s="6">
        <f>VLOOKUP(A387,Dataset!A:L,12,FALSE)</f>
        <v>2744.77</v>
      </c>
    </row>
    <row r="388" spans="1:6">
      <c r="A388" s="5">
        <v>1386</v>
      </c>
      <c r="B388" s="2" t="str">
        <f>VLOOKUP(A388,Dataset!A:L,2,FALSE)</f>
        <v>Crystal Molina</v>
      </c>
      <c r="C388" s="2" t="str">
        <f>VLOOKUP(A388,Dataset!A:L,3,FALSE)</f>
        <v>Shoes</v>
      </c>
      <c r="D388" s="2" t="str">
        <f>VLOOKUP(A388,Dataset!A:L,4,FALSE)</f>
        <v>Boots</v>
      </c>
      <c r="E388" s="2">
        <f>VLOOKUP(A388,Dataset!A:L,8,FALSE)</f>
        <v>-2219.91</v>
      </c>
      <c r="F388" s="6">
        <f>VLOOKUP(A388,Dataset!A:L,12,FALSE)</f>
        <v>1669.09</v>
      </c>
    </row>
    <row r="389" spans="1:6">
      <c r="A389" s="5">
        <v>1387</v>
      </c>
      <c r="B389" s="2" t="str">
        <f>VLOOKUP(A389,Dataset!A:L,2,FALSE)</f>
        <v>Michael White</v>
      </c>
      <c r="C389" s="2" t="str">
        <f>VLOOKUP(A389,Dataset!A:L,3,FALSE)</f>
        <v>Jackets</v>
      </c>
      <c r="D389" s="2" t="str">
        <f>VLOOKUP(A389,Dataset!A:L,4,FALSE)</f>
        <v>Puffer Coat</v>
      </c>
      <c r="E389" s="2">
        <f>VLOOKUP(A389,Dataset!A:L,8,FALSE)</f>
        <v>0</v>
      </c>
      <c r="F389" s="6">
        <f>VLOOKUP(A389,Dataset!A:L,12,FALSE)</f>
        <v>-505.47</v>
      </c>
    </row>
    <row r="390" spans="1:6">
      <c r="A390" s="5">
        <v>1388</v>
      </c>
      <c r="B390" s="2" t="str">
        <f>VLOOKUP(A390,Dataset!A:L,2,FALSE)</f>
        <v>Michael Beltran</v>
      </c>
      <c r="C390" s="2" t="str">
        <f>VLOOKUP(A390,Dataset!A:L,3,FALSE)</f>
        <v>Dresses</v>
      </c>
      <c r="D390" s="2" t="str">
        <f>VLOOKUP(A390,Dataset!A:L,4,FALSE)</f>
        <v>Casual Midi</v>
      </c>
      <c r="E390" s="2">
        <f>VLOOKUP(A390,Dataset!A:L,8,FALSE)</f>
        <v>0</v>
      </c>
      <c r="F390" s="6">
        <f>VLOOKUP(A390,Dataset!A:L,12,FALSE)</f>
        <v>475.79</v>
      </c>
    </row>
    <row r="391" spans="1:6">
      <c r="A391" s="5">
        <v>1389</v>
      </c>
      <c r="B391" s="2" t="str">
        <f>VLOOKUP(A391,Dataset!A:L,2,FALSE)</f>
        <v>Barbara Jones</v>
      </c>
      <c r="C391" s="2" t="str">
        <f>VLOOKUP(A391,Dataset!A:L,3,FALSE)</f>
        <v>Dresses</v>
      </c>
      <c r="D391" s="2" t="str">
        <f>VLOOKUP(A391,Dataset!A:L,4,FALSE)</f>
        <v>Wrap Dress</v>
      </c>
      <c r="E391" s="2">
        <f>VLOOKUP(A391,Dataset!A:L,8,FALSE)</f>
        <v>0</v>
      </c>
      <c r="F391" s="6">
        <f>VLOOKUP(A391,Dataset!A:L,12,FALSE)</f>
        <v>1987.46</v>
      </c>
    </row>
    <row r="392" spans="1:6">
      <c r="A392" s="5">
        <v>1390</v>
      </c>
      <c r="B392" s="2" t="str">
        <f>VLOOKUP(A392,Dataset!A:L,2,FALSE)</f>
        <v>Randy Baker</v>
      </c>
      <c r="C392" s="2" t="str">
        <f>VLOOKUP(A392,Dataset!A:L,3,FALSE)</f>
        <v>Jeans</v>
      </c>
      <c r="D392" s="2" t="str">
        <f>VLOOKUP(A392,Dataset!A:L,4,FALSE)</f>
        <v>Slim Fit Jeans</v>
      </c>
      <c r="E392" s="2">
        <f>VLOOKUP(A392,Dataset!A:L,8,FALSE)</f>
        <v>0</v>
      </c>
      <c r="F392" s="6">
        <f>VLOOKUP(A392,Dataset!A:L,12,FALSE)</f>
        <v>1789.75</v>
      </c>
    </row>
    <row r="393" spans="1:6">
      <c r="A393" s="5">
        <v>1391</v>
      </c>
      <c r="B393" s="2" t="str">
        <f>VLOOKUP(A393,Dataset!A:L,2,FALSE)</f>
        <v>James Collins</v>
      </c>
      <c r="C393" s="2" t="str">
        <f>VLOOKUP(A393,Dataset!A:L,3,FALSE)</f>
        <v>Shoes</v>
      </c>
      <c r="D393" s="2" t="str">
        <f>VLOOKUP(A393,Dataset!A:L,4,FALSE)</f>
        <v>Slip-ons</v>
      </c>
      <c r="E393" s="2">
        <f>VLOOKUP(A393,Dataset!A:L,8,FALSE)</f>
        <v>0</v>
      </c>
      <c r="F393" s="6">
        <f>VLOOKUP(A393,Dataset!A:L,12,FALSE)</f>
        <v>418.24</v>
      </c>
    </row>
    <row r="394" spans="1:6">
      <c r="A394" s="5">
        <v>1014</v>
      </c>
      <c r="B394" s="2" t="str">
        <f>VLOOKUP(A394,Dataset!A:L,2,FALSE)</f>
        <v>Richard Hood</v>
      </c>
      <c r="C394" s="2" t="str">
        <f>VLOOKUP(A394,Dataset!A:L,3,FALSE)</f>
        <v>Shoes</v>
      </c>
      <c r="D394" s="2" t="str">
        <f>VLOOKUP(A394,Dataset!A:L,4,FALSE)</f>
        <v>Loafers</v>
      </c>
      <c r="E394" s="2">
        <f>VLOOKUP(A394,Dataset!A:L,8,FALSE)</f>
        <v>0</v>
      </c>
      <c r="F394" s="6">
        <f>VLOOKUP(A394,Dataset!A:L,12,FALSE)</f>
        <v>-889.25</v>
      </c>
    </row>
    <row r="395" spans="1:6">
      <c r="A395" s="5">
        <v>1393</v>
      </c>
      <c r="B395" s="2" t="str">
        <f>VLOOKUP(A395,Dataset!A:L,2,FALSE)</f>
        <v>Christina Hernandez</v>
      </c>
      <c r="C395" s="2" t="str">
        <f>VLOOKUP(A395,Dataset!A:L,3,FALSE)</f>
        <v>Jackets</v>
      </c>
      <c r="D395" s="2" t="str">
        <f>VLOOKUP(A395,Dataset!A:L,4,FALSE)</f>
        <v>Bomber Jacket</v>
      </c>
      <c r="E395" s="2">
        <f>VLOOKUP(A395,Dataset!A:L,8,FALSE)</f>
        <v>0</v>
      </c>
      <c r="F395" s="6">
        <f>VLOOKUP(A395,Dataset!A:L,12,FALSE)</f>
        <v>2001.24</v>
      </c>
    </row>
    <row r="396" spans="1:6">
      <c r="A396" s="5">
        <v>1394</v>
      </c>
      <c r="B396" s="2" t="str">
        <f>VLOOKUP(A396,Dataset!A:L,2,FALSE)</f>
        <v>Jody Larsen</v>
      </c>
      <c r="C396" s="2" t="str">
        <f>VLOOKUP(A396,Dataset!A:L,3,FALSE)</f>
        <v>Jackets</v>
      </c>
      <c r="D396" s="2" t="str">
        <f>VLOOKUP(A396,Dataset!A:L,4,FALSE)</f>
        <v>Bomber Jacket</v>
      </c>
      <c r="E396" s="2">
        <f>VLOOKUP(A396,Dataset!A:L,8,FALSE)</f>
        <v>0</v>
      </c>
      <c r="F396" s="6">
        <f>VLOOKUP(A396,Dataset!A:L,12,FALSE)</f>
        <v>2538.59</v>
      </c>
    </row>
    <row r="397" spans="1:6">
      <c r="A397" s="5">
        <v>1395</v>
      </c>
      <c r="B397" s="2" t="str">
        <f>VLOOKUP(A397,Dataset!A:L,2,FALSE)</f>
        <v>Andrew Wood</v>
      </c>
      <c r="C397" s="2" t="str">
        <f>VLOOKUP(A397,Dataset!A:L,3,FALSE)</f>
        <v>Dresses</v>
      </c>
      <c r="D397" s="2" t="str">
        <f>VLOOKUP(A397,Dataset!A:L,4,FALSE)</f>
        <v>Wrap Dress</v>
      </c>
      <c r="E397" s="2">
        <f>VLOOKUP(A397,Dataset!A:L,8,FALSE)</f>
        <v>0</v>
      </c>
      <c r="F397" s="6">
        <f>VLOOKUP(A397,Dataset!A:L,12,FALSE)</f>
        <v>-357.08</v>
      </c>
    </row>
    <row r="398" spans="1:6">
      <c r="A398" s="5">
        <v>1396</v>
      </c>
      <c r="B398" s="2" t="str">
        <f>VLOOKUP(A398,Dataset!A:L,2,FALSE)</f>
        <v>James Rocha</v>
      </c>
      <c r="C398" s="2" t="str">
        <f>VLOOKUP(A398,Dataset!A:L,3,FALSE)</f>
        <v>Jeans</v>
      </c>
      <c r="D398" s="2" t="str">
        <f>VLOOKUP(A398,Dataset!A:L,4,FALSE)</f>
        <v>Straight Cut</v>
      </c>
      <c r="E398" s="2">
        <f>VLOOKUP(A398,Dataset!A:L,8,FALSE)</f>
        <v>5422.2</v>
      </c>
      <c r="F398" s="6">
        <f>VLOOKUP(A398,Dataset!A:L,12,FALSE)</f>
        <v>1553.44</v>
      </c>
    </row>
    <row r="399" spans="1:6">
      <c r="A399" s="5">
        <v>1397</v>
      </c>
      <c r="B399" s="2" t="str">
        <f>VLOOKUP(A399,Dataset!A:L,2,FALSE)</f>
        <v>Rebekah Gonzalez</v>
      </c>
      <c r="C399" s="2" t="str">
        <f>VLOOKUP(A399,Dataset!A:L,3,FALSE)</f>
        <v>Jackets</v>
      </c>
      <c r="D399" s="2" t="str">
        <f>VLOOKUP(A399,Dataset!A:L,4,FALSE)</f>
        <v>Leather Jacket</v>
      </c>
      <c r="E399" s="2">
        <f>VLOOKUP(A399,Dataset!A:L,8,FALSE)</f>
        <v>0</v>
      </c>
      <c r="F399" s="6">
        <f>VLOOKUP(A399,Dataset!A:L,12,FALSE)</f>
        <v>1239.6199999999999</v>
      </c>
    </row>
    <row r="400" spans="1:6">
      <c r="A400" s="5">
        <v>1398</v>
      </c>
      <c r="B400" s="2" t="str">
        <f>VLOOKUP(A400,Dataset!A:L,2,FALSE)</f>
        <v>Aaron Ruiz</v>
      </c>
      <c r="C400" s="2" t="str">
        <f>VLOOKUP(A400,Dataset!A:L,3,FALSE)</f>
        <v>Dresses</v>
      </c>
      <c r="D400" s="2" t="str">
        <f>VLOOKUP(A400,Dataset!A:L,4,FALSE)</f>
        <v>Casual Midi</v>
      </c>
      <c r="E400" s="2">
        <f>VLOOKUP(A400,Dataset!A:L,8,FALSE)</f>
        <v>0</v>
      </c>
      <c r="F400" s="6">
        <f>VLOOKUP(A400,Dataset!A:L,12,FALSE)</f>
        <v>-43.7</v>
      </c>
    </row>
    <row r="401" spans="1:6">
      <c r="A401" s="5">
        <v>1399</v>
      </c>
      <c r="B401" s="2" t="str">
        <f>VLOOKUP(A401,Dataset!A:L,2,FALSE)</f>
        <v>Olivia Lee</v>
      </c>
      <c r="C401" s="2" t="str">
        <f>VLOOKUP(A401,Dataset!A:L,3,FALSE)</f>
        <v>Jackets</v>
      </c>
      <c r="D401" s="2" t="str">
        <f>VLOOKUP(A401,Dataset!A:L,4,FALSE)</f>
        <v>Denim Jacket</v>
      </c>
      <c r="E401" s="2">
        <f>VLOOKUP(A401,Dataset!A:L,8,FALSE)</f>
        <v>0</v>
      </c>
      <c r="F401" s="6">
        <f>VLOOKUP(A401,Dataset!A:L,12,FALSE)</f>
        <v>-444.08</v>
      </c>
    </row>
    <row r="402" spans="1:6">
      <c r="A402" s="5">
        <v>1400</v>
      </c>
      <c r="B402" s="2" t="str">
        <f>VLOOKUP(A402,Dataset!A:L,2,FALSE)</f>
        <v>John Carr</v>
      </c>
      <c r="C402" s="2" t="str">
        <f>VLOOKUP(A402,Dataset!A:L,3,FALSE)</f>
        <v>T-Shirts</v>
      </c>
      <c r="D402" s="2" t="str">
        <f>VLOOKUP(A402,Dataset!A:L,4,FALSE)</f>
        <v>Classic Tee</v>
      </c>
      <c r="E402" s="2">
        <f>VLOOKUP(A402,Dataset!A:L,8,FALSE)</f>
        <v>0</v>
      </c>
      <c r="F402" s="6">
        <f>VLOOKUP(A402,Dataset!A:L,12,FALSE)</f>
        <v>1385.55</v>
      </c>
    </row>
    <row r="403" spans="1:6">
      <c r="A403" s="5">
        <v>1401</v>
      </c>
      <c r="B403" s="2" t="str">
        <f>VLOOKUP(A403,Dataset!A:L,2,FALSE)</f>
        <v>Daniel Wilson</v>
      </c>
      <c r="C403" s="2" t="str">
        <f>VLOOKUP(A403,Dataset!A:L,3,FALSE)</f>
        <v>T-Shirts</v>
      </c>
      <c r="D403" s="2" t="str">
        <f>VLOOKUP(A403,Dataset!A:L,4,FALSE)</f>
        <v>Classic Tee</v>
      </c>
      <c r="E403" s="2">
        <f>VLOOKUP(A403,Dataset!A:L,8,FALSE)</f>
        <v>0</v>
      </c>
      <c r="F403" s="6">
        <f>VLOOKUP(A403,Dataset!A:L,12,FALSE)</f>
        <v>-751.05</v>
      </c>
    </row>
    <row r="404" spans="1:6">
      <c r="A404" s="5">
        <v>1402</v>
      </c>
      <c r="B404" s="2" t="str">
        <f>VLOOKUP(A404,Dataset!A:L,2,FALSE)</f>
        <v>Daniel Hernandez Jr.</v>
      </c>
      <c r="C404" s="2" t="str">
        <f>VLOOKUP(A404,Dataset!A:L,3,FALSE)</f>
        <v>Accessories</v>
      </c>
      <c r="D404" s="2" t="str">
        <f>VLOOKUP(A404,Dataset!A:L,4,FALSE)</f>
        <v>Watches</v>
      </c>
      <c r="E404" s="2">
        <f>VLOOKUP(A404,Dataset!A:L,8,FALSE)</f>
        <v>0</v>
      </c>
      <c r="F404" s="6">
        <f>VLOOKUP(A404,Dataset!A:L,12,FALSE)</f>
        <v>982.01</v>
      </c>
    </row>
    <row r="405" spans="1:6">
      <c r="A405" s="5">
        <v>1403</v>
      </c>
      <c r="B405" s="2" t="str">
        <f>VLOOKUP(A405,Dataset!A:L,2,FALSE)</f>
        <v>John Clark</v>
      </c>
      <c r="C405" s="2" t="str">
        <f>VLOOKUP(A405,Dataset!A:L,3,FALSE)</f>
        <v>T-Shirts</v>
      </c>
      <c r="D405" s="2" t="str">
        <f>VLOOKUP(A405,Dataset!A:L,4,FALSE)</f>
        <v>Crop Top</v>
      </c>
      <c r="E405" s="2">
        <f>VLOOKUP(A405,Dataset!A:L,8,FALSE)</f>
        <v>0</v>
      </c>
      <c r="F405" s="6">
        <f>VLOOKUP(A405,Dataset!A:L,12,FALSE)</f>
        <v>2210.0700000000002</v>
      </c>
    </row>
    <row r="406" spans="1:6">
      <c r="A406" s="5">
        <v>1404</v>
      </c>
      <c r="B406" s="2" t="str">
        <f>VLOOKUP(A406,Dataset!A:L,2,FALSE)</f>
        <v>Hannah Martin</v>
      </c>
      <c r="C406" s="2" t="str">
        <f>VLOOKUP(A406,Dataset!A:L,3,FALSE)</f>
        <v>Accessories</v>
      </c>
      <c r="D406" s="2" t="str">
        <f>VLOOKUP(A406,Dataset!A:L,4,FALSE)</f>
        <v>Watches</v>
      </c>
      <c r="E406" s="2">
        <f>VLOOKUP(A406,Dataset!A:L,8,FALSE)</f>
        <v>0</v>
      </c>
      <c r="F406" s="6">
        <f>VLOOKUP(A406,Dataset!A:L,12,FALSE)</f>
        <v>1979.07</v>
      </c>
    </row>
    <row r="407" spans="1:6">
      <c r="A407" s="5">
        <v>1405</v>
      </c>
      <c r="B407" s="2" t="str">
        <f>VLOOKUP(A407,Dataset!A:L,2,FALSE)</f>
        <v>Alyssa Ramirez</v>
      </c>
      <c r="C407" s="2" t="str">
        <f>VLOOKUP(A407,Dataset!A:L,3,FALSE)</f>
        <v>Dresses</v>
      </c>
      <c r="D407" s="2" t="str">
        <f>VLOOKUP(A407,Dataset!A:L,4,FALSE)</f>
        <v>Maxi Dress</v>
      </c>
      <c r="E407" s="2">
        <f>VLOOKUP(A407,Dataset!A:L,8,FALSE)</f>
        <v>0</v>
      </c>
      <c r="F407" s="6">
        <f>VLOOKUP(A407,Dataset!A:L,12,FALSE)</f>
        <v>2345.6799999999998</v>
      </c>
    </row>
    <row r="408" spans="1:6">
      <c r="A408" s="5">
        <v>1406</v>
      </c>
      <c r="B408" s="2" t="str">
        <f>VLOOKUP(A408,Dataset!A:L,2,FALSE)</f>
        <v>Alan Johnson</v>
      </c>
      <c r="C408" s="2" t="str">
        <f>VLOOKUP(A408,Dataset!A:L,3,FALSE)</f>
        <v>Dresses</v>
      </c>
      <c r="D408" s="2" t="str">
        <f>VLOOKUP(A408,Dataset!A:L,4,FALSE)</f>
        <v>Maxi Dress</v>
      </c>
      <c r="E408" s="2">
        <f>VLOOKUP(A408,Dataset!A:L,8,FALSE)</f>
        <v>0</v>
      </c>
      <c r="F408" s="6">
        <f>VLOOKUP(A408,Dataset!A:L,12,FALSE)</f>
        <v>-863.17</v>
      </c>
    </row>
    <row r="409" spans="1:6">
      <c r="A409" s="5">
        <v>1407</v>
      </c>
      <c r="B409" s="2" t="str">
        <f>VLOOKUP(A409,Dataset!A:L,2,FALSE)</f>
        <v>Joseph Freeman</v>
      </c>
      <c r="C409" s="2" t="str">
        <f>VLOOKUP(A409,Dataset!A:L,3,FALSE)</f>
        <v>T-Shirts</v>
      </c>
      <c r="D409" s="2" t="str">
        <f>VLOOKUP(A409,Dataset!A:L,4,FALSE)</f>
        <v>Graphic Tee</v>
      </c>
      <c r="E409" s="2">
        <f>VLOOKUP(A409,Dataset!A:L,8,FALSE)</f>
        <v>0</v>
      </c>
      <c r="F409" s="6">
        <f>VLOOKUP(A409,Dataset!A:L,12,FALSE)</f>
        <v>2041.12</v>
      </c>
    </row>
    <row r="410" spans="1:6">
      <c r="A410" s="5">
        <v>1408</v>
      </c>
      <c r="B410" s="2" t="str">
        <f>VLOOKUP(A410,Dataset!A:L,2,FALSE)</f>
        <v>William Golden</v>
      </c>
      <c r="C410" s="2" t="str">
        <f>VLOOKUP(A410,Dataset!A:L,3,FALSE)</f>
        <v>Shoes</v>
      </c>
      <c r="D410" s="2" t="str">
        <f>VLOOKUP(A410,Dataset!A:L,4,FALSE)</f>
        <v>Boots</v>
      </c>
      <c r="E410" s="2">
        <f>VLOOKUP(A410,Dataset!A:L,8,FALSE)</f>
        <v>0</v>
      </c>
      <c r="F410" s="6">
        <f>VLOOKUP(A410,Dataset!A:L,12,FALSE)</f>
        <v>2305.3200000000002</v>
      </c>
    </row>
    <row r="411" spans="1:6">
      <c r="A411" s="5">
        <v>1409</v>
      </c>
      <c r="B411" s="2" t="str">
        <f>VLOOKUP(A411,Dataset!A:L,2,FALSE)</f>
        <v>Heather Cross</v>
      </c>
      <c r="C411" s="2" t="str">
        <f>VLOOKUP(A411,Dataset!A:L,3,FALSE)</f>
        <v>Accessories</v>
      </c>
      <c r="D411" s="2" t="str">
        <f>VLOOKUP(A411,Dataset!A:L,4,FALSE)</f>
        <v>Caps</v>
      </c>
      <c r="E411" s="2">
        <f>VLOOKUP(A411,Dataset!A:L,8,FALSE)</f>
        <v>0</v>
      </c>
      <c r="F411" s="6">
        <f>VLOOKUP(A411,Dataset!A:L,12,FALSE)</f>
        <v>-941.44</v>
      </c>
    </row>
    <row r="412" spans="1:6">
      <c r="A412" s="5">
        <v>1410</v>
      </c>
      <c r="B412" s="2" t="str">
        <f>VLOOKUP(A412,Dataset!A:L,2,FALSE)</f>
        <v>Dawn Caldwell</v>
      </c>
      <c r="C412" s="2" t="str">
        <f>VLOOKUP(A412,Dataset!A:L,3,FALSE)</f>
        <v>Jeans</v>
      </c>
      <c r="D412" s="2" t="str">
        <f>VLOOKUP(A412,Dataset!A:L,4,FALSE)</f>
        <v>Ripped Denim</v>
      </c>
      <c r="E412" s="2">
        <f>VLOOKUP(A412,Dataset!A:L,8,FALSE)</f>
        <v>0</v>
      </c>
      <c r="F412" s="6">
        <f>VLOOKUP(A412,Dataset!A:L,12,FALSE)</f>
        <v>-654.59</v>
      </c>
    </row>
    <row r="413" spans="1:6">
      <c r="A413" s="5">
        <v>1411</v>
      </c>
      <c r="B413" s="2" t="str">
        <f>VLOOKUP(A413,Dataset!A:L,2,FALSE)</f>
        <v>Michael Bond</v>
      </c>
      <c r="C413" s="2" t="str">
        <f>VLOOKUP(A413,Dataset!A:L,3,FALSE)</f>
        <v>Dresses</v>
      </c>
      <c r="D413" s="2" t="str">
        <f>VLOOKUP(A413,Dataset!A:L,4,FALSE)</f>
        <v>Wrap Dress</v>
      </c>
      <c r="E413" s="2">
        <f>VLOOKUP(A413,Dataset!A:L,8,FALSE)</f>
        <v>0</v>
      </c>
      <c r="F413" s="6">
        <f>VLOOKUP(A413,Dataset!A:L,12,FALSE)</f>
        <v>1520.19</v>
      </c>
    </row>
    <row r="414" spans="1:6">
      <c r="A414" s="5">
        <v>1412</v>
      </c>
      <c r="B414" s="2" t="str">
        <f>VLOOKUP(A414,Dataset!A:L,2,FALSE)</f>
        <v>Luis Mcdaniel</v>
      </c>
      <c r="C414" s="2" t="str">
        <f>VLOOKUP(A414,Dataset!A:L,3,FALSE)</f>
        <v>Shoes</v>
      </c>
      <c r="D414" s="2" t="str">
        <f>VLOOKUP(A414,Dataset!A:L,4,FALSE)</f>
        <v>Slip-ons</v>
      </c>
      <c r="E414" s="2">
        <f>VLOOKUP(A414,Dataset!A:L,8,FALSE)</f>
        <v>0</v>
      </c>
      <c r="F414" s="6">
        <f>VLOOKUP(A414,Dataset!A:L,12,FALSE)</f>
        <v>2314.9299999999998</v>
      </c>
    </row>
    <row r="415" spans="1:6">
      <c r="A415" s="5">
        <v>1413</v>
      </c>
      <c r="B415" s="2" t="str">
        <f>VLOOKUP(A415,Dataset!A:L,2,FALSE)</f>
        <v>Michael Harris</v>
      </c>
      <c r="C415" s="2" t="str">
        <f>VLOOKUP(A415,Dataset!A:L,3,FALSE)</f>
        <v>Dresses</v>
      </c>
      <c r="D415" s="2" t="str">
        <f>VLOOKUP(A415,Dataset!A:L,4,FALSE)</f>
        <v>Maxi Dress</v>
      </c>
      <c r="E415" s="2">
        <f>VLOOKUP(A415,Dataset!A:L,8,FALSE)</f>
        <v>0</v>
      </c>
      <c r="F415" s="6">
        <f>VLOOKUP(A415,Dataset!A:L,12,FALSE)</f>
        <v>1539.28</v>
      </c>
    </row>
    <row r="416" spans="1:6">
      <c r="A416" s="5">
        <v>1414</v>
      </c>
      <c r="B416" s="2" t="str">
        <f>VLOOKUP(A416,Dataset!A:L,2,FALSE)</f>
        <v>Elizabeth Buchanan</v>
      </c>
      <c r="C416" s="2" t="str">
        <f>VLOOKUP(A416,Dataset!A:L,3,FALSE)</f>
        <v>T-Shirts</v>
      </c>
      <c r="D416" s="2" t="str">
        <f>VLOOKUP(A416,Dataset!A:L,4,FALSE)</f>
        <v>Oversized T-shirt</v>
      </c>
      <c r="E416" s="2">
        <f>VLOOKUP(A416,Dataset!A:L,8,FALSE)</f>
        <v>0</v>
      </c>
      <c r="F416" s="6">
        <f>VLOOKUP(A416,Dataset!A:L,12,FALSE)</f>
        <v>2843.55</v>
      </c>
    </row>
    <row r="417" spans="1:6">
      <c r="A417" s="5">
        <v>1415</v>
      </c>
      <c r="B417" s="2" t="str">
        <f>VLOOKUP(A417,Dataset!A:L,2,FALSE)</f>
        <v>Sydney Travis</v>
      </c>
      <c r="C417" s="2" t="str">
        <f>VLOOKUP(A417,Dataset!A:L,3,FALSE)</f>
        <v>Jackets</v>
      </c>
      <c r="D417" s="2" t="str">
        <f>VLOOKUP(A417,Dataset!A:L,4,FALSE)</f>
        <v>Puffer Coat</v>
      </c>
      <c r="E417" s="2">
        <f>VLOOKUP(A417,Dataset!A:L,8,FALSE)</f>
        <v>0</v>
      </c>
      <c r="F417" s="6">
        <f>VLOOKUP(A417,Dataset!A:L,12,FALSE)</f>
        <v>2661.23</v>
      </c>
    </row>
    <row r="418" spans="1:6">
      <c r="A418" s="5">
        <v>1416</v>
      </c>
      <c r="B418" s="2" t="str">
        <f>VLOOKUP(A418,Dataset!A:L,2,FALSE)</f>
        <v>Joshua Johnson</v>
      </c>
      <c r="C418" s="2" t="str">
        <f>VLOOKUP(A418,Dataset!A:L,3,FALSE)</f>
        <v>Accessories</v>
      </c>
      <c r="D418" s="2" t="str">
        <f>VLOOKUP(A418,Dataset!A:L,4,FALSE)</f>
        <v>Watches</v>
      </c>
      <c r="E418" s="2">
        <f>VLOOKUP(A418,Dataset!A:L,8,FALSE)</f>
        <v>0</v>
      </c>
      <c r="F418" s="6">
        <f>VLOOKUP(A418,Dataset!A:L,12,FALSE)</f>
        <v>2286.48</v>
      </c>
    </row>
    <row r="419" spans="1:6">
      <c r="A419" s="5">
        <v>1417</v>
      </c>
      <c r="B419" s="2" t="str">
        <f>VLOOKUP(A419,Dataset!A:L,2,FALSE)</f>
        <v>Nicholas Harrell</v>
      </c>
      <c r="C419" s="2" t="str">
        <f>VLOOKUP(A419,Dataset!A:L,3,FALSE)</f>
        <v>Dresses</v>
      </c>
      <c r="D419" s="2" t="str">
        <f>VLOOKUP(A419,Dataset!A:L,4,FALSE)</f>
        <v>Wrap Dress</v>
      </c>
      <c r="E419" s="2">
        <f>VLOOKUP(A419,Dataset!A:L,8,FALSE)</f>
        <v>0</v>
      </c>
      <c r="F419" s="6">
        <f>VLOOKUP(A419,Dataset!A:L,12,FALSE)</f>
        <v>888.59</v>
      </c>
    </row>
    <row r="420" spans="1:6">
      <c r="A420" s="5">
        <v>1418</v>
      </c>
      <c r="B420" s="2" t="str">
        <f>VLOOKUP(A420,Dataset!A:L,2,FALSE)</f>
        <v>Christopher Anderson</v>
      </c>
      <c r="C420" s="2" t="str">
        <f>VLOOKUP(A420,Dataset!A:L,3,FALSE)</f>
        <v>Dresses</v>
      </c>
      <c r="D420" s="2" t="str">
        <f>VLOOKUP(A420,Dataset!A:L,4,FALSE)</f>
        <v>Bodycon</v>
      </c>
      <c r="E420" s="2">
        <f>VLOOKUP(A420,Dataset!A:L,8,FALSE)</f>
        <v>0</v>
      </c>
      <c r="F420" s="6">
        <f>VLOOKUP(A420,Dataset!A:L,12,FALSE)</f>
        <v>1403.76</v>
      </c>
    </row>
    <row r="421" spans="1:6">
      <c r="A421" s="5">
        <v>1419</v>
      </c>
      <c r="B421" s="2" t="str">
        <f>VLOOKUP(A421,Dataset!A:L,2,FALSE)</f>
        <v>Brittney Rivera</v>
      </c>
      <c r="C421" s="2" t="str">
        <f>VLOOKUP(A421,Dataset!A:L,3,FALSE)</f>
        <v>Jackets</v>
      </c>
      <c r="D421" s="2" t="str">
        <f>VLOOKUP(A421,Dataset!A:L,4,FALSE)</f>
        <v>Bomber Jacket</v>
      </c>
      <c r="E421" s="2">
        <f>VLOOKUP(A421,Dataset!A:L,8,FALSE)</f>
        <v>0</v>
      </c>
      <c r="F421" s="6">
        <f>VLOOKUP(A421,Dataset!A:L,12,FALSE)</f>
        <v>-565.16999999999996</v>
      </c>
    </row>
    <row r="422" spans="1:6">
      <c r="A422" s="5">
        <v>1420</v>
      </c>
      <c r="B422" s="2" t="str">
        <f>VLOOKUP(A422,Dataset!A:L,2,FALSE)</f>
        <v>James Patterson</v>
      </c>
      <c r="C422" s="2" t="str">
        <f>VLOOKUP(A422,Dataset!A:L,3,FALSE)</f>
        <v>Shoes</v>
      </c>
      <c r="D422" s="2" t="str">
        <f>VLOOKUP(A422,Dataset!A:L,4,FALSE)</f>
        <v>Loafers</v>
      </c>
      <c r="E422" s="2">
        <f>VLOOKUP(A422,Dataset!A:L,8,FALSE)</f>
        <v>0</v>
      </c>
      <c r="F422" s="6">
        <f>VLOOKUP(A422,Dataset!A:L,12,FALSE)</f>
        <v>2790.42</v>
      </c>
    </row>
    <row r="423" spans="1:6">
      <c r="A423" s="5">
        <v>1421</v>
      </c>
      <c r="B423" s="2" t="str">
        <f>VLOOKUP(A423,Dataset!A:L,2,FALSE)</f>
        <v>Kenneth Jackson</v>
      </c>
      <c r="C423" s="2" t="str">
        <f>VLOOKUP(A423,Dataset!A:L,3,FALSE)</f>
        <v>T-Shirts</v>
      </c>
      <c r="D423" s="2" t="str">
        <f>VLOOKUP(A423,Dataset!A:L,4,FALSE)</f>
        <v>Classic Tee</v>
      </c>
      <c r="E423" s="2">
        <f>VLOOKUP(A423,Dataset!A:L,8,FALSE)</f>
        <v>0</v>
      </c>
      <c r="F423" s="6">
        <f>VLOOKUP(A423,Dataset!A:L,12,FALSE)</f>
        <v>575.19000000000005</v>
      </c>
    </row>
    <row r="424" spans="1:6">
      <c r="A424" s="5">
        <v>1422</v>
      </c>
      <c r="B424" s="2" t="str">
        <f>VLOOKUP(A424,Dataset!A:L,2,FALSE)</f>
        <v>Marvin Cox</v>
      </c>
      <c r="C424" s="2" t="str">
        <f>VLOOKUP(A424,Dataset!A:L,3,FALSE)</f>
        <v>Jeans</v>
      </c>
      <c r="D424" s="2" t="str">
        <f>VLOOKUP(A424,Dataset!A:L,4,FALSE)</f>
        <v>Boyfriend Jeans</v>
      </c>
      <c r="E424" s="2">
        <f>VLOOKUP(A424,Dataset!A:L,8,FALSE)</f>
        <v>0</v>
      </c>
      <c r="F424" s="6">
        <f>VLOOKUP(A424,Dataset!A:L,12,FALSE)</f>
        <v>2168.7800000000002</v>
      </c>
    </row>
    <row r="425" spans="1:6">
      <c r="A425" s="5">
        <v>1423</v>
      </c>
      <c r="B425" s="2" t="str">
        <f>VLOOKUP(A425,Dataset!A:L,2,FALSE)</f>
        <v>Christopher Reeves</v>
      </c>
      <c r="C425" s="2" t="str">
        <f>VLOOKUP(A425,Dataset!A:L,3,FALSE)</f>
        <v>Jackets</v>
      </c>
      <c r="D425" s="2" t="str">
        <f>VLOOKUP(A425,Dataset!A:L,4,FALSE)</f>
        <v>Leather Jacket</v>
      </c>
      <c r="E425" s="2">
        <f>VLOOKUP(A425,Dataset!A:L,8,FALSE)</f>
        <v>0</v>
      </c>
      <c r="F425" s="6">
        <f>VLOOKUP(A425,Dataset!A:L,12,FALSE)</f>
        <v>1302.05</v>
      </c>
    </row>
    <row r="426" spans="1:6">
      <c r="A426" s="5">
        <v>1424</v>
      </c>
      <c r="B426" s="2" t="str">
        <f>VLOOKUP(A426,Dataset!A:L,2,FALSE)</f>
        <v>Jennifer Villarreal</v>
      </c>
      <c r="C426" s="2" t="str">
        <f>VLOOKUP(A426,Dataset!A:L,3,FALSE)</f>
        <v>T-Shirts</v>
      </c>
      <c r="D426" s="2" t="str">
        <f>VLOOKUP(A426,Dataset!A:L,4,FALSE)</f>
        <v>Classic Tee</v>
      </c>
      <c r="E426" s="2">
        <f>VLOOKUP(A426,Dataset!A:L,8,FALSE)</f>
        <v>96.95</v>
      </c>
      <c r="F426" s="6">
        <f>VLOOKUP(A426,Dataset!A:L,12,FALSE)</f>
        <v>752.81</v>
      </c>
    </row>
    <row r="427" spans="1:6">
      <c r="A427" s="5">
        <v>1425</v>
      </c>
      <c r="B427" s="2" t="str">
        <f>VLOOKUP(A427,Dataset!A:L,2,FALSE)</f>
        <v>Stacey Irwin</v>
      </c>
      <c r="C427" s="2" t="str">
        <f>VLOOKUP(A427,Dataset!A:L,3,FALSE)</f>
        <v>Accessories</v>
      </c>
      <c r="D427" s="2" t="str">
        <f>VLOOKUP(A427,Dataset!A:L,4,FALSE)</f>
        <v>Caps</v>
      </c>
      <c r="E427" s="2">
        <f>VLOOKUP(A427,Dataset!A:L,8,FALSE)</f>
        <v>0</v>
      </c>
      <c r="F427" s="6">
        <f>VLOOKUP(A427,Dataset!A:L,12,FALSE)</f>
        <v>2604.14</v>
      </c>
    </row>
    <row r="428" spans="1:6">
      <c r="A428" s="5">
        <v>1426</v>
      </c>
      <c r="B428" s="2" t="str">
        <f>VLOOKUP(A428,Dataset!A:L,2,FALSE)</f>
        <v>Bryan Parks</v>
      </c>
      <c r="C428" s="2" t="str">
        <f>VLOOKUP(A428,Dataset!A:L,3,FALSE)</f>
        <v>Jeans</v>
      </c>
      <c r="D428" s="2" t="str">
        <f>VLOOKUP(A428,Dataset!A:L,4,FALSE)</f>
        <v>Ripped Denim</v>
      </c>
      <c r="E428" s="2">
        <f>VLOOKUP(A428,Dataset!A:L,8,FALSE)</f>
        <v>-889.05</v>
      </c>
      <c r="F428" s="6">
        <f>VLOOKUP(A428,Dataset!A:L,12,FALSE)</f>
        <v>2860.99</v>
      </c>
    </row>
    <row r="429" spans="1:6">
      <c r="A429" s="5">
        <v>1427</v>
      </c>
      <c r="B429" s="2" t="str">
        <f>VLOOKUP(A429,Dataset!A:L,2,FALSE)</f>
        <v>Angela Hall</v>
      </c>
      <c r="C429" s="2" t="str">
        <f>VLOOKUP(A429,Dataset!A:L,3,FALSE)</f>
        <v>Shoes</v>
      </c>
      <c r="D429" s="2" t="str">
        <f>VLOOKUP(A429,Dataset!A:L,4,FALSE)</f>
        <v>Boots</v>
      </c>
      <c r="E429" s="2">
        <f>VLOOKUP(A429,Dataset!A:L,8,FALSE)</f>
        <v>0</v>
      </c>
      <c r="F429" s="6">
        <f>VLOOKUP(A429,Dataset!A:L,12,FALSE)</f>
        <v>2795.17</v>
      </c>
    </row>
    <row r="430" spans="1:6">
      <c r="A430" s="5">
        <v>1015</v>
      </c>
      <c r="B430" s="2" t="str">
        <f>VLOOKUP(A430,Dataset!A:L,2,FALSE)</f>
        <v>Julie Fox</v>
      </c>
      <c r="C430" s="2" t="str">
        <f>VLOOKUP(A430,Dataset!A:L,3,FALSE)</f>
        <v>Shoes</v>
      </c>
      <c r="D430" s="2" t="str">
        <f>VLOOKUP(A430,Dataset!A:L,4,FALSE)</f>
        <v>Sneakers</v>
      </c>
      <c r="E430" s="2">
        <f>VLOOKUP(A430,Dataset!A:L,8,FALSE)</f>
        <v>0</v>
      </c>
      <c r="F430" s="6">
        <f>VLOOKUP(A430,Dataset!A:L,12,FALSE)</f>
        <v>793.8</v>
      </c>
    </row>
    <row r="431" spans="1:6">
      <c r="A431" s="5">
        <v>1429</v>
      </c>
      <c r="B431" s="2" t="str">
        <f>VLOOKUP(A431,Dataset!A:L,2,FALSE)</f>
        <v>Travis Vargas</v>
      </c>
      <c r="C431" s="2" t="str">
        <f>VLOOKUP(A431,Dataset!A:L,3,FALSE)</f>
        <v>Dresses</v>
      </c>
      <c r="D431" s="2" t="str">
        <f>VLOOKUP(A431,Dataset!A:L,4,FALSE)</f>
        <v>Bodycon</v>
      </c>
      <c r="E431" s="2">
        <f>VLOOKUP(A431,Dataset!A:L,8,FALSE)</f>
        <v>0</v>
      </c>
      <c r="F431" s="6">
        <f>VLOOKUP(A431,Dataset!A:L,12,FALSE)</f>
        <v>-358.22</v>
      </c>
    </row>
    <row r="432" spans="1:6">
      <c r="A432" s="5">
        <v>1430</v>
      </c>
      <c r="B432" s="2" t="str">
        <f>VLOOKUP(A432,Dataset!A:L,2,FALSE)</f>
        <v>Rose Delgado</v>
      </c>
      <c r="C432" s="2" t="str">
        <f>VLOOKUP(A432,Dataset!A:L,3,FALSE)</f>
        <v>Jeans</v>
      </c>
      <c r="D432" s="2" t="str">
        <f>VLOOKUP(A432,Dataset!A:L,4,FALSE)</f>
        <v>Straight Cut</v>
      </c>
      <c r="E432" s="2">
        <f>VLOOKUP(A432,Dataset!A:L,8,FALSE)</f>
        <v>0</v>
      </c>
      <c r="F432" s="6">
        <f>VLOOKUP(A432,Dataset!A:L,12,FALSE)</f>
        <v>2045.56</v>
      </c>
    </row>
    <row r="433" spans="1:6">
      <c r="A433" s="5">
        <v>1431</v>
      </c>
      <c r="B433" s="2" t="str">
        <f>VLOOKUP(A433,Dataset!A:L,2,FALSE)</f>
        <v>Jennifer Lyons</v>
      </c>
      <c r="C433" s="2" t="str">
        <f>VLOOKUP(A433,Dataset!A:L,3,FALSE)</f>
        <v>Accessories</v>
      </c>
      <c r="D433" s="2" t="str">
        <f>VLOOKUP(A433,Dataset!A:L,4,FALSE)</f>
        <v>Watches</v>
      </c>
      <c r="E433" s="2">
        <f>VLOOKUP(A433,Dataset!A:L,8,FALSE)</f>
        <v>0</v>
      </c>
      <c r="F433" s="6">
        <f>VLOOKUP(A433,Dataset!A:L,12,FALSE)</f>
        <v>2191.02</v>
      </c>
    </row>
    <row r="434" spans="1:6">
      <c r="A434" s="5">
        <v>1432</v>
      </c>
      <c r="B434" s="2" t="str">
        <f>VLOOKUP(A434,Dataset!A:L,2,FALSE)</f>
        <v>Steven Taylor</v>
      </c>
      <c r="C434" s="2" t="str">
        <f>VLOOKUP(A434,Dataset!A:L,3,FALSE)</f>
        <v>Shoes</v>
      </c>
      <c r="D434" s="2" t="str">
        <f>VLOOKUP(A434,Dataset!A:L,4,FALSE)</f>
        <v>Sneakers</v>
      </c>
      <c r="E434" s="2">
        <f>VLOOKUP(A434,Dataset!A:L,8,FALSE)</f>
        <v>0</v>
      </c>
      <c r="F434" s="6">
        <f>VLOOKUP(A434,Dataset!A:L,12,FALSE)</f>
        <v>-849.15</v>
      </c>
    </row>
    <row r="435" spans="1:6">
      <c r="A435" s="5">
        <v>1433</v>
      </c>
      <c r="B435" s="2" t="str">
        <f>VLOOKUP(A435,Dataset!A:L,2,FALSE)</f>
        <v>Jesse Cooke</v>
      </c>
      <c r="C435" s="2" t="str">
        <f>VLOOKUP(A435,Dataset!A:L,3,FALSE)</f>
        <v>T-Shirts</v>
      </c>
      <c r="D435" s="2" t="str">
        <f>VLOOKUP(A435,Dataset!A:L,4,FALSE)</f>
        <v>Oversized T-shirt</v>
      </c>
      <c r="E435" s="2">
        <f>VLOOKUP(A435,Dataset!A:L,8,FALSE)</f>
        <v>0</v>
      </c>
      <c r="F435" s="6">
        <f>VLOOKUP(A435,Dataset!A:L,12,FALSE)</f>
        <v>-878.85</v>
      </c>
    </row>
    <row r="436" spans="1:6">
      <c r="A436" s="5">
        <v>1434</v>
      </c>
      <c r="B436" s="2" t="str">
        <f>VLOOKUP(A436,Dataset!A:L,2,FALSE)</f>
        <v>Marie Sullivan</v>
      </c>
      <c r="C436" s="2" t="str">
        <f>VLOOKUP(A436,Dataset!A:L,3,FALSE)</f>
        <v>Jeans</v>
      </c>
      <c r="D436" s="2" t="str">
        <f>VLOOKUP(A436,Dataset!A:L,4,FALSE)</f>
        <v>Boyfriend Jeans</v>
      </c>
      <c r="E436" s="2">
        <f>VLOOKUP(A436,Dataset!A:L,8,FALSE)</f>
        <v>0</v>
      </c>
      <c r="F436" s="6">
        <f>VLOOKUP(A436,Dataset!A:L,12,FALSE)</f>
        <v>-310.8</v>
      </c>
    </row>
    <row r="437" spans="1:6">
      <c r="A437" s="5">
        <v>1435</v>
      </c>
      <c r="B437" s="2" t="str">
        <f>VLOOKUP(A437,Dataset!A:L,2,FALSE)</f>
        <v>Nicole Mills</v>
      </c>
      <c r="C437" s="2" t="str">
        <f>VLOOKUP(A437,Dataset!A:L,3,FALSE)</f>
        <v>T-Shirts</v>
      </c>
      <c r="D437" s="2" t="str">
        <f>VLOOKUP(A437,Dataset!A:L,4,FALSE)</f>
        <v>Classic Tee</v>
      </c>
      <c r="E437" s="2">
        <f>VLOOKUP(A437,Dataset!A:L,8,FALSE)</f>
        <v>0</v>
      </c>
      <c r="F437" s="6">
        <f>VLOOKUP(A437,Dataset!A:L,12,FALSE)</f>
        <v>904.65</v>
      </c>
    </row>
    <row r="438" spans="1:6">
      <c r="A438" s="5">
        <v>1436</v>
      </c>
      <c r="B438" s="2" t="str">
        <f>VLOOKUP(A438,Dataset!A:L,2,FALSE)</f>
        <v>Erin Yu</v>
      </c>
      <c r="C438" s="2" t="str">
        <f>VLOOKUP(A438,Dataset!A:L,3,FALSE)</f>
        <v>T-Shirts</v>
      </c>
      <c r="D438" s="2" t="str">
        <f>VLOOKUP(A438,Dataset!A:L,4,FALSE)</f>
        <v>Classic Tee</v>
      </c>
      <c r="E438" s="2">
        <f>VLOOKUP(A438,Dataset!A:L,8,FALSE)</f>
        <v>0</v>
      </c>
      <c r="F438" s="6">
        <f>VLOOKUP(A438,Dataset!A:L,12,FALSE)</f>
        <v>1445.93</v>
      </c>
    </row>
    <row r="439" spans="1:6">
      <c r="A439" s="5">
        <v>1437</v>
      </c>
      <c r="B439" s="2" t="str">
        <f>VLOOKUP(A439,Dataset!A:L,2,FALSE)</f>
        <v>Rachel Savage</v>
      </c>
      <c r="C439" s="2" t="str">
        <f>VLOOKUP(A439,Dataset!A:L,3,FALSE)</f>
        <v>Jeans</v>
      </c>
      <c r="D439" s="2" t="str">
        <f>VLOOKUP(A439,Dataset!A:L,4,FALSE)</f>
        <v>Boyfriend Jeans</v>
      </c>
      <c r="E439" s="2">
        <f>VLOOKUP(A439,Dataset!A:L,8,FALSE)</f>
        <v>0</v>
      </c>
      <c r="F439" s="6">
        <f>VLOOKUP(A439,Dataset!A:L,12,FALSE)</f>
        <v>131.47999999999999</v>
      </c>
    </row>
    <row r="440" spans="1:6">
      <c r="A440" s="5">
        <v>1438</v>
      </c>
      <c r="B440" s="2" t="str">
        <f>VLOOKUP(A440,Dataset!A:L,2,FALSE)</f>
        <v>Teresa Nichols</v>
      </c>
      <c r="C440" s="2" t="str">
        <f>VLOOKUP(A440,Dataset!A:L,3,FALSE)</f>
        <v>Dresses</v>
      </c>
      <c r="D440" s="2" t="str">
        <f>VLOOKUP(A440,Dataset!A:L,4,FALSE)</f>
        <v>Wrap Dress</v>
      </c>
      <c r="E440" s="2">
        <f>VLOOKUP(A440,Dataset!A:L,8,FALSE)</f>
        <v>0</v>
      </c>
      <c r="F440" s="6">
        <f>VLOOKUP(A440,Dataset!A:L,12,FALSE)</f>
        <v>1014.29</v>
      </c>
    </row>
    <row r="441" spans="1:6">
      <c r="A441" s="5">
        <v>1439</v>
      </c>
      <c r="B441" s="2" t="str">
        <f>VLOOKUP(A441,Dataset!A:L,2,FALSE)</f>
        <v>Elijah Anderson</v>
      </c>
      <c r="C441" s="2" t="str">
        <f>VLOOKUP(A441,Dataset!A:L,3,FALSE)</f>
        <v>T-Shirts</v>
      </c>
      <c r="D441" s="2" t="str">
        <f>VLOOKUP(A441,Dataset!A:L,4,FALSE)</f>
        <v>Graphic Tee</v>
      </c>
      <c r="E441" s="2">
        <f>VLOOKUP(A441,Dataset!A:L,8,FALSE)</f>
        <v>0</v>
      </c>
      <c r="F441" s="6">
        <f>VLOOKUP(A441,Dataset!A:L,12,FALSE)</f>
        <v>726.42</v>
      </c>
    </row>
    <row r="442" spans="1:6">
      <c r="A442" s="5">
        <v>1440</v>
      </c>
      <c r="B442" s="2" t="str">
        <f>VLOOKUP(A442,Dataset!A:L,2,FALSE)</f>
        <v>Candace Smith</v>
      </c>
      <c r="C442" s="2" t="str">
        <f>VLOOKUP(A442,Dataset!A:L,3,FALSE)</f>
        <v>Dresses</v>
      </c>
      <c r="D442" s="2" t="str">
        <f>VLOOKUP(A442,Dataset!A:L,4,FALSE)</f>
        <v>Bodycon</v>
      </c>
      <c r="E442" s="2">
        <f>VLOOKUP(A442,Dataset!A:L,8,FALSE)</f>
        <v>0</v>
      </c>
      <c r="F442" s="6">
        <f>VLOOKUP(A442,Dataset!A:L,12,FALSE)</f>
        <v>-476.72</v>
      </c>
    </row>
    <row r="443" spans="1:6">
      <c r="A443" s="5">
        <v>1441</v>
      </c>
      <c r="B443" s="2" t="str">
        <f>VLOOKUP(A443,Dataset!A:L,2,FALSE)</f>
        <v>Michelle Lara</v>
      </c>
      <c r="C443" s="2" t="str">
        <f>VLOOKUP(A443,Dataset!A:L,3,FALSE)</f>
        <v>Jeans</v>
      </c>
      <c r="D443" s="2" t="str">
        <f>VLOOKUP(A443,Dataset!A:L,4,FALSE)</f>
        <v>Slim Fit Jeans</v>
      </c>
      <c r="E443" s="2">
        <f>VLOOKUP(A443,Dataset!A:L,8,FALSE)</f>
        <v>0</v>
      </c>
      <c r="F443" s="6">
        <f>VLOOKUP(A443,Dataset!A:L,12,FALSE)</f>
        <v>-316.51</v>
      </c>
    </row>
    <row r="444" spans="1:6">
      <c r="A444" s="5">
        <v>1442</v>
      </c>
      <c r="B444" s="2" t="str">
        <f>VLOOKUP(A444,Dataset!A:L,2,FALSE)</f>
        <v>Emma Ramirez</v>
      </c>
      <c r="C444" s="2" t="str">
        <f>VLOOKUP(A444,Dataset!A:L,3,FALSE)</f>
        <v>Shoes</v>
      </c>
      <c r="D444" s="2" t="str">
        <f>VLOOKUP(A444,Dataset!A:L,4,FALSE)</f>
        <v>Slip-ons</v>
      </c>
      <c r="E444" s="2">
        <f>VLOOKUP(A444,Dataset!A:L,8,FALSE)</f>
        <v>0</v>
      </c>
      <c r="F444" s="6">
        <f>VLOOKUP(A444,Dataset!A:L,12,FALSE)</f>
        <v>1218.28</v>
      </c>
    </row>
    <row r="445" spans="1:6">
      <c r="A445" s="5">
        <v>1443</v>
      </c>
      <c r="B445" s="2" t="str">
        <f>VLOOKUP(A445,Dataset!A:L,2,FALSE)</f>
        <v>Danielle Shelton</v>
      </c>
      <c r="C445" s="2" t="str">
        <f>VLOOKUP(A445,Dataset!A:L,3,FALSE)</f>
        <v>T-Shirts</v>
      </c>
      <c r="D445" s="2" t="str">
        <f>VLOOKUP(A445,Dataset!A:L,4,FALSE)</f>
        <v>Crop Top</v>
      </c>
      <c r="E445" s="2">
        <f>VLOOKUP(A445,Dataset!A:L,8,FALSE)</f>
        <v>0</v>
      </c>
      <c r="F445" s="6">
        <f>VLOOKUP(A445,Dataset!A:L,12,FALSE)</f>
        <v>2962.6</v>
      </c>
    </row>
    <row r="446" spans="1:6">
      <c r="A446" s="5">
        <v>1444</v>
      </c>
      <c r="B446" s="2" t="str">
        <f>VLOOKUP(A446,Dataset!A:L,2,FALSE)</f>
        <v>Paula Leon</v>
      </c>
      <c r="C446" s="2" t="str">
        <f>VLOOKUP(A446,Dataset!A:L,3,FALSE)</f>
        <v>Accessories</v>
      </c>
      <c r="D446" s="2" t="str">
        <f>VLOOKUP(A446,Dataset!A:L,4,FALSE)</f>
        <v>Watches</v>
      </c>
      <c r="E446" s="2">
        <f>VLOOKUP(A446,Dataset!A:L,8,FALSE)</f>
        <v>0</v>
      </c>
      <c r="F446" s="6">
        <f>VLOOKUP(A446,Dataset!A:L,12,FALSE)</f>
        <v>810.8</v>
      </c>
    </row>
    <row r="447" spans="1:6">
      <c r="A447" s="5">
        <v>1445</v>
      </c>
      <c r="B447" s="2" t="str">
        <f>VLOOKUP(A447,Dataset!A:L,2,FALSE)</f>
        <v>Dr. Dennis Pena</v>
      </c>
      <c r="C447" s="2" t="str">
        <f>VLOOKUP(A447,Dataset!A:L,3,FALSE)</f>
        <v>Jackets</v>
      </c>
      <c r="D447" s="2" t="str">
        <f>VLOOKUP(A447,Dataset!A:L,4,FALSE)</f>
        <v>Bomber Jacket</v>
      </c>
      <c r="E447" s="2">
        <f>VLOOKUP(A447,Dataset!A:L,8,FALSE)</f>
        <v>0</v>
      </c>
      <c r="F447" s="6">
        <f>VLOOKUP(A447,Dataset!A:L,12,FALSE)</f>
        <v>2846.13</v>
      </c>
    </row>
    <row r="448" spans="1:6">
      <c r="A448" s="5">
        <v>1446</v>
      </c>
      <c r="B448" s="2" t="str">
        <f>VLOOKUP(A448,Dataset!A:L,2,FALSE)</f>
        <v>Kelsey Wright</v>
      </c>
      <c r="C448" s="2" t="str">
        <f>VLOOKUP(A448,Dataset!A:L,3,FALSE)</f>
        <v>Shoes</v>
      </c>
      <c r="D448" s="2" t="str">
        <f>VLOOKUP(A448,Dataset!A:L,4,FALSE)</f>
        <v>Loafers</v>
      </c>
      <c r="E448" s="2">
        <f>VLOOKUP(A448,Dataset!A:L,8,FALSE)</f>
        <v>0</v>
      </c>
      <c r="F448" s="6">
        <f>VLOOKUP(A448,Dataset!A:L,12,FALSE)</f>
        <v>-602.57000000000005</v>
      </c>
    </row>
    <row r="449" spans="1:6">
      <c r="A449" s="5">
        <v>1031</v>
      </c>
      <c r="B449" s="2" t="str">
        <f>VLOOKUP(A449,Dataset!A:L,2,FALSE)</f>
        <v>Lauren Jensen</v>
      </c>
      <c r="C449" s="2" t="str">
        <f>VLOOKUP(A449,Dataset!A:L,3,FALSE)</f>
        <v>Dresses</v>
      </c>
      <c r="D449" s="2" t="str">
        <f>VLOOKUP(A449,Dataset!A:L,4,FALSE)</f>
        <v>Wrap Dress</v>
      </c>
      <c r="E449" s="2">
        <f>VLOOKUP(A449,Dataset!A:L,8,FALSE)</f>
        <v>0</v>
      </c>
      <c r="F449" s="6">
        <f>VLOOKUP(A449,Dataset!A:L,12,FALSE)</f>
        <v>-863.9</v>
      </c>
    </row>
    <row r="450" spans="1:6">
      <c r="A450" s="5">
        <v>1448</v>
      </c>
      <c r="B450" s="2" t="str">
        <f>VLOOKUP(A450,Dataset!A:L,2,FALSE)</f>
        <v>Brandon Andrews</v>
      </c>
      <c r="C450" s="2" t="str">
        <f>VLOOKUP(A450,Dataset!A:L,3,FALSE)</f>
        <v>Jeans</v>
      </c>
      <c r="D450" s="2" t="str">
        <f>VLOOKUP(A450,Dataset!A:L,4,FALSE)</f>
        <v>Slim Fit Jeans</v>
      </c>
      <c r="E450" s="2">
        <f>VLOOKUP(A450,Dataset!A:L,8,FALSE)</f>
        <v>0</v>
      </c>
      <c r="F450" s="6">
        <f>VLOOKUP(A450,Dataset!A:L,12,FALSE)</f>
        <v>1948.49</v>
      </c>
    </row>
    <row r="451" spans="1:6">
      <c r="A451" s="5">
        <v>1449</v>
      </c>
      <c r="B451" s="2" t="str">
        <f>VLOOKUP(A451,Dataset!A:L,2,FALSE)</f>
        <v>Michelle Phillips</v>
      </c>
      <c r="C451" s="2" t="str">
        <f>VLOOKUP(A451,Dataset!A:L,3,FALSE)</f>
        <v>Jeans</v>
      </c>
      <c r="D451" s="2" t="str">
        <f>VLOOKUP(A451,Dataset!A:L,4,FALSE)</f>
        <v>Straight Cut</v>
      </c>
      <c r="E451" s="2">
        <f>VLOOKUP(A451,Dataset!A:L,8,FALSE)</f>
        <v>0</v>
      </c>
      <c r="F451" s="6">
        <f>VLOOKUP(A451,Dataset!A:L,12,FALSE)</f>
        <v>2598.7399999999998</v>
      </c>
    </row>
    <row r="452" spans="1:6">
      <c r="A452" s="5">
        <v>1043</v>
      </c>
      <c r="B452" s="2" t="str">
        <f>VLOOKUP(A452,Dataset!A:L,2,FALSE)</f>
        <v>Deborah Walker</v>
      </c>
      <c r="C452" s="2" t="str">
        <f>VLOOKUP(A452,Dataset!A:L,3,FALSE)</f>
        <v>T-Shirts</v>
      </c>
      <c r="D452" s="2" t="str">
        <f>VLOOKUP(A452,Dataset!A:L,4,FALSE)</f>
        <v>Graphic Tee</v>
      </c>
      <c r="E452" s="2">
        <f>VLOOKUP(A452,Dataset!A:L,8,FALSE)</f>
        <v>0</v>
      </c>
      <c r="F452" s="6">
        <f>VLOOKUP(A452,Dataset!A:L,12,FALSE)</f>
        <v>442.14</v>
      </c>
    </row>
    <row r="453" spans="1:6">
      <c r="A453" s="5">
        <v>1451</v>
      </c>
      <c r="B453" s="2" t="str">
        <f>VLOOKUP(A453,Dataset!A:L,2,FALSE)</f>
        <v>Rebecca Murphy</v>
      </c>
      <c r="C453" s="2" t="str">
        <f>VLOOKUP(A453,Dataset!A:L,3,FALSE)</f>
        <v>Shoes</v>
      </c>
      <c r="D453" s="2" t="str">
        <f>VLOOKUP(A453,Dataset!A:L,4,FALSE)</f>
        <v>Slip-ons</v>
      </c>
      <c r="E453" s="2">
        <f>VLOOKUP(A453,Dataset!A:L,8,FALSE)</f>
        <v>0</v>
      </c>
      <c r="F453" s="6">
        <f>VLOOKUP(A453,Dataset!A:L,12,FALSE)</f>
        <v>1553.39</v>
      </c>
    </row>
    <row r="454" spans="1:6">
      <c r="A454" s="5">
        <v>1452</v>
      </c>
      <c r="B454" s="2" t="str">
        <f>VLOOKUP(A454,Dataset!A:L,2,FALSE)</f>
        <v>Ricardo Kent</v>
      </c>
      <c r="C454" s="2" t="str">
        <f>VLOOKUP(A454,Dataset!A:L,3,FALSE)</f>
        <v>Accessories</v>
      </c>
      <c r="D454" s="2" t="str">
        <f>VLOOKUP(A454,Dataset!A:L,4,FALSE)</f>
        <v>Sunglasses</v>
      </c>
      <c r="E454" s="2">
        <f>VLOOKUP(A454,Dataset!A:L,8,FALSE)</f>
        <v>-3511.57</v>
      </c>
      <c r="F454" s="6">
        <f>VLOOKUP(A454,Dataset!A:L,12,FALSE)</f>
        <v>918.54</v>
      </c>
    </row>
    <row r="455" spans="1:6">
      <c r="A455" s="5">
        <v>1453</v>
      </c>
      <c r="B455" s="2" t="str">
        <f>VLOOKUP(A455,Dataset!A:L,2,FALSE)</f>
        <v>Justin Carpenter</v>
      </c>
      <c r="C455" s="2" t="str">
        <f>VLOOKUP(A455,Dataset!A:L,3,FALSE)</f>
        <v>Jeans</v>
      </c>
      <c r="D455" s="2" t="str">
        <f>VLOOKUP(A455,Dataset!A:L,4,FALSE)</f>
        <v>Straight Cut</v>
      </c>
      <c r="E455" s="2">
        <f>VLOOKUP(A455,Dataset!A:L,8,FALSE)</f>
        <v>0</v>
      </c>
      <c r="F455" s="6">
        <f>VLOOKUP(A455,Dataset!A:L,12,FALSE)</f>
        <v>1465.97</v>
      </c>
    </row>
    <row r="456" spans="1:6">
      <c r="A456" s="5">
        <v>1454</v>
      </c>
      <c r="B456" s="2" t="str">
        <f>VLOOKUP(A456,Dataset!A:L,2,FALSE)</f>
        <v>Justin Clements</v>
      </c>
      <c r="C456" s="2" t="str">
        <f>VLOOKUP(A456,Dataset!A:L,3,FALSE)</f>
        <v>Accessories</v>
      </c>
      <c r="D456" s="2" t="str">
        <f>VLOOKUP(A456,Dataset!A:L,4,FALSE)</f>
        <v>Sunglasses</v>
      </c>
      <c r="E456" s="2">
        <f>VLOOKUP(A456,Dataset!A:L,8,FALSE)</f>
        <v>0</v>
      </c>
      <c r="F456" s="6">
        <f>VLOOKUP(A456,Dataset!A:L,12,FALSE)</f>
        <v>2424.44</v>
      </c>
    </row>
    <row r="457" spans="1:6">
      <c r="A457" s="5">
        <v>1455</v>
      </c>
      <c r="B457" s="2" t="str">
        <f>VLOOKUP(A457,Dataset!A:L,2,FALSE)</f>
        <v>Patty Thomas</v>
      </c>
      <c r="C457" s="2" t="str">
        <f>VLOOKUP(A457,Dataset!A:L,3,FALSE)</f>
        <v>T-Shirts</v>
      </c>
      <c r="D457" s="2" t="str">
        <f>VLOOKUP(A457,Dataset!A:L,4,FALSE)</f>
        <v>Classic Tee</v>
      </c>
      <c r="E457" s="2">
        <f>VLOOKUP(A457,Dataset!A:L,8,FALSE)</f>
        <v>0</v>
      </c>
      <c r="F457" s="6">
        <f>VLOOKUP(A457,Dataset!A:L,12,FALSE)</f>
        <v>743.47</v>
      </c>
    </row>
    <row r="458" spans="1:6">
      <c r="A458" s="5">
        <v>1456</v>
      </c>
      <c r="B458" s="2" t="str">
        <f>VLOOKUP(A458,Dataset!A:L,2,FALSE)</f>
        <v>Madison Berry</v>
      </c>
      <c r="C458" s="2" t="str">
        <f>VLOOKUP(A458,Dataset!A:L,3,FALSE)</f>
        <v>T-Shirts</v>
      </c>
      <c r="D458" s="2" t="str">
        <f>VLOOKUP(A458,Dataset!A:L,4,FALSE)</f>
        <v>Graphic Tee</v>
      </c>
      <c r="E458" s="2">
        <f>VLOOKUP(A458,Dataset!A:L,8,FALSE)</f>
        <v>0</v>
      </c>
      <c r="F458" s="6">
        <f>VLOOKUP(A458,Dataset!A:L,12,FALSE)</f>
        <v>1350.12</v>
      </c>
    </row>
    <row r="459" spans="1:6">
      <c r="A459" s="5">
        <v>1457</v>
      </c>
      <c r="B459" s="2" t="str">
        <f>VLOOKUP(A459,Dataset!A:L,2,FALSE)</f>
        <v>Danielle Washington</v>
      </c>
      <c r="C459" s="2" t="str">
        <f>VLOOKUP(A459,Dataset!A:L,3,FALSE)</f>
        <v>Accessories</v>
      </c>
      <c r="D459" s="2" t="str">
        <f>VLOOKUP(A459,Dataset!A:L,4,FALSE)</f>
        <v>Watches</v>
      </c>
      <c r="E459" s="2">
        <f>VLOOKUP(A459,Dataset!A:L,8,FALSE)</f>
        <v>0</v>
      </c>
      <c r="F459" s="6">
        <f>VLOOKUP(A459,Dataset!A:L,12,FALSE)</f>
        <v>750.64</v>
      </c>
    </row>
    <row r="460" spans="1:6">
      <c r="A460" s="5">
        <v>1458</v>
      </c>
      <c r="B460" s="2" t="str">
        <f>VLOOKUP(A460,Dataset!A:L,2,FALSE)</f>
        <v>Rachel Marshall</v>
      </c>
      <c r="C460" s="2" t="str">
        <f>VLOOKUP(A460,Dataset!A:L,3,FALSE)</f>
        <v>Jackets</v>
      </c>
      <c r="D460" s="2" t="str">
        <f>VLOOKUP(A460,Dataset!A:L,4,FALSE)</f>
        <v>Puffer Coat</v>
      </c>
      <c r="E460" s="2">
        <f>VLOOKUP(A460,Dataset!A:L,8,FALSE)</f>
        <v>0</v>
      </c>
      <c r="F460" s="6">
        <f>VLOOKUP(A460,Dataset!A:L,12,FALSE)</f>
        <v>1877.22</v>
      </c>
    </row>
    <row r="461" spans="1:6">
      <c r="A461" s="5">
        <v>1459</v>
      </c>
      <c r="B461" s="2" t="str">
        <f>VLOOKUP(A461,Dataset!A:L,2,FALSE)</f>
        <v>Anna King</v>
      </c>
      <c r="C461" s="2" t="str">
        <f>VLOOKUP(A461,Dataset!A:L,3,FALSE)</f>
        <v>Accessories</v>
      </c>
      <c r="D461" s="2" t="str">
        <f>VLOOKUP(A461,Dataset!A:L,4,FALSE)</f>
        <v>Sunglasses</v>
      </c>
      <c r="E461" s="2">
        <f>VLOOKUP(A461,Dataset!A:L,8,FALSE)</f>
        <v>0</v>
      </c>
      <c r="F461" s="6">
        <f>VLOOKUP(A461,Dataset!A:L,12,FALSE)</f>
        <v>2959.95</v>
      </c>
    </row>
    <row r="462" spans="1:6">
      <c r="A462" s="5">
        <v>1460</v>
      </c>
      <c r="B462" s="2" t="str">
        <f>VLOOKUP(A462,Dataset!A:L,2,FALSE)</f>
        <v>Leah Chaney</v>
      </c>
      <c r="C462" s="2" t="str">
        <f>VLOOKUP(A462,Dataset!A:L,3,FALSE)</f>
        <v>Jackets</v>
      </c>
      <c r="D462" s="2" t="str">
        <f>VLOOKUP(A462,Dataset!A:L,4,FALSE)</f>
        <v>Leather Jacket</v>
      </c>
      <c r="E462" s="2">
        <f>VLOOKUP(A462,Dataset!A:L,8,FALSE)</f>
        <v>0</v>
      </c>
      <c r="F462" s="6">
        <f>VLOOKUP(A462,Dataset!A:L,12,FALSE)</f>
        <v>921.96</v>
      </c>
    </row>
    <row r="463" spans="1:6">
      <c r="A463" s="5">
        <v>1461</v>
      </c>
      <c r="B463" s="2" t="str">
        <f>VLOOKUP(A463,Dataset!A:L,2,FALSE)</f>
        <v>Rebecca Leach</v>
      </c>
      <c r="C463" s="2" t="str">
        <f>VLOOKUP(A463,Dataset!A:L,3,FALSE)</f>
        <v>Dresses</v>
      </c>
      <c r="D463" s="2" t="str">
        <f>VLOOKUP(A463,Dataset!A:L,4,FALSE)</f>
        <v>Casual Midi</v>
      </c>
      <c r="E463" s="2">
        <f>VLOOKUP(A463,Dataset!A:L,8,FALSE)</f>
        <v>0</v>
      </c>
      <c r="F463" s="6">
        <f>VLOOKUP(A463,Dataset!A:L,12,FALSE)</f>
        <v>941.87</v>
      </c>
    </row>
    <row r="464" spans="1:6">
      <c r="A464" s="5">
        <v>1462</v>
      </c>
      <c r="B464" s="2" t="str">
        <f>VLOOKUP(A464,Dataset!A:L,2,FALSE)</f>
        <v>Miranda Higgins</v>
      </c>
      <c r="C464" s="2" t="str">
        <f>VLOOKUP(A464,Dataset!A:L,3,FALSE)</f>
        <v>Jackets</v>
      </c>
      <c r="D464" s="2" t="str">
        <f>VLOOKUP(A464,Dataset!A:L,4,FALSE)</f>
        <v>Puffer Coat</v>
      </c>
      <c r="E464" s="2">
        <f>VLOOKUP(A464,Dataset!A:L,8,FALSE)</f>
        <v>0</v>
      </c>
      <c r="F464" s="6">
        <f>VLOOKUP(A464,Dataset!A:L,12,FALSE)</f>
        <v>372.63</v>
      </c>
    </row>
    <row r="465" spans="1:6">
      <c r="A465" s="5">
        <v>1463</v>
      </c>
      <c r="B465" s="2" t="str">
        <f>VLOOKUP(A465,Dataset!A:L,2,FALSE)</f>
        <v>Danielle Gonzales</v>
      </c>
      <c r="C465" s="2" t="str">
        <f>VLOOKUP(A465,Dataset!A:L,3,FALSE)</f>
        <v>Dresses</v>
      </c>
      <c r="D465" s="2" t="str">
        <f>VLOOKUP(A465,Dataset!A:L,4,FALSE)</f>
        <v>Wrap Dress</v>
      </c>
      <c r="E465" s="2">
        <f>VLOOKUP(A465,Dataset!A:L,8,FALSE)</f>
        <v>-552.73</v>
      </c>
      <c r="F465" s="6">
        <f>VLOOKUP(A465,Dataset!A:L,12,FALSE)</f>
        <v>-877.13</v>
      </c>
    </row>
    <row r="466" spans="1:6">
      <c r="A466" s="5">
        <v>1464</v>
      </c>
      <c r="B466" s="2" t="str">
        <f>VLOOKUP(A466,Dataset!A:L,2,FALSE)</f>
        <v>Jill Johnson</v>
      </c>
      <c r="C466" s="2" t="str">
        <f>VLOOKUP(A466,Dataset!A:L,3,FALSE)</f>
        <v>Dresses</v>
      </c>
      <c r="D466" s="2" t="str">
        <f>VLOOKUP(A466,Dataset!A:L,4,FALSE)</f>
        <v>Wrap Dress</v>
      </c>
      <c r="E466" s="2">
        <f>VLOOKUP(A466,Dataset!A:L,8,FALSE)</f>
        <v>0</v>
      </c>
      <c r="F466" s="6">
        <f>VLOOKUP(A466,Dataset!A:L,12,FALSE)</f>
        <v>837.3</v>
      </c>
    </row>
    <row r="467" spans="1:6">
      <c r="A467" s="5">
        <v>1465</v>
      </c>
      <c r="B467" s="2" t="str">
        <f>VLOOKUP(A467,Dataset!A:L,2,FALSE)</f>
        <v>William Peck</v>
      </c>
      <c r="C467" s="2" t="str">
        <f>VLOOKUP(A467,Dataset!A:L,3,FALSE)</f>
        <v>Accessories</v>
      </c>
      <c r="D467" s="2" t="str">
        <f>VLOOKUP(A467,Dataset!A:L,4,FALSE)</f>
        <v>Belts</v>
      </c>
      <c r="E467" s="2">
        <f>VLOOKUP(A467,Dataset!A:L,8,FALSE)</f>
        <v>-177.23</v>
      </c>
      <c r="F467" s="6">
        <f>VLOOKUP(A467,Dataset!A:L,12,FALSE)</f>
        <v>-85.73</v>
      </c>
    </row>
    <row r="468" spans="1:6">
      <c r="A468" s="5">
        <v>1014</v>
      </c>
      <c r="B468" s="2" t="str">
        <f>VLOOKUP(A468,Dataset!A:L,2,FALSE)</f>
        <v>Richard Hood</v>
      </c>
      <c r="C468" s="2" t="str">
        <f>VLOOKUP(A468,Dataset!A:L,3,FALSE)</f>
        <v>Shoes</v>
      </c>
      <c r="D468" s="2" t="str">
        <f>VLOOKUP(A468,Dataset!A:L,4,FALSE)</f>
        <v>Loafers</v>
      </c>
      <c r="E468" s="2">
        <f>VLOOKUP(A468,Dataset!A:L,8,FALSE)</f>
        <v>0</v>
      </c>
      <c r="F468" s="6">
        <f>VLOOKUP(A468,Dataset!A:L,12,FALSE)</f>
        <v>-889.25</v>
      </c>
    </row>
    <row r="469" spans="1:6">
      <c r="A469" s="5">
        <v>1030</v>
      </c>
      <c r="B469" s="2" t="str">
        <f>VLOOKUP(A469,Dataset!A:L,2,FALSE)</f>
        <v>Brandi Jones</v>
      </c>
      <c r="C469" s="2" t="str">
        <f>VLOOKUP(A469,Dataset!A:L,3,FALSE)</f>
        <v>Dresses</v>
      </c>
      <c r="D469" s="2" t="str">
        <f>VLOOKUP(A469,Dataset!A:L,4,FALSE)</f>
        <v>Maxi Dress</v>
      </c>
      <c r="E469" s="2">
        <f>VLOOKUP(A469,Dataset!A:L,8,FALSE)</f>
        <v>0</v>
      </c>
      <c r="F469" s="6">
        <f>VLOOKUP(A469,Dataset!A:L,12,FALSE)</f>
        <v>1155.3800000000001</v>
      </c>
    </row>
    <row r="470" spans="1:6">
      <c r="A470" s="5">
        <v>1468</v>
      </c>
      <c r="B470" s="2" t="str">
        <f>VLOOKUP(A470,Dataset!A:L,2,FALSE)</f>
        <v>Jeremy Nash</v>
      </c>
      <c r="C470" s="2" t="str">
        <f>VLOOKUP(A470,Dataset!A:L,3,FALSE)</f>
        <v>T-Shirts</v>
      </c>
      <c r="D470" s="2" t="str">
        <f>VLOOKUP(A470,Dataset!A:L,4,FALSE)</f>
        <v>Graphic Tee</v>
      </c>
      <c r="E470" s="2">
        <f>VLOOKUP(A470,Dataset!A:L,8,FALSE)</f>
        <v>0</v>
      </c>
      <c r="F470" s="6">
        <f>VLOOKUP(A470,Dataset!A:L,12,FALSE)</f>
        <v>733.66</v>
      </c>
    </row>
    <row r="471" spans="1:6">
      <c r="A471" s="5">
        <v>1469</v>
      </c>
      <c r="B471" s="2" t="str">
        <f>VLOOKUP(A471,Dataset!A:L,2,FALSE)</f>
        <v>Craig Conner MD</v>
      </c>
      <c r="C471" s="2" t="str">
        <f>VLOOKUP(A471,Dataset!A:L,3,FALSE)</f>
        <v>Dresses</v>
      </c>
      <c r="D471" s="2" t="str">
        <f>VLOOKUP(A471,Dataset!A:L,4,FALSE)</f>
        <v>Wrap Dress</v>
      </c>
      <c r="E471" s="2">
        <f>VLOOKUP(A471,Dataset!A:L,8,FALSE)</f>
        <v>0</v>
      </c>
      <c r="F471" s="6">
        <f>VLOOKUP(A471,Dataset!A:L,12,FALSE)</f>
        <v>1644.72</v>
      </c>
    </row>
    <row r="472" spans="1:6">
      <c r="A472" s="5">
        <v>1470</v>
      </c>
      <c r="B472" s="2" t="str">
        <f>VLOOKUP(A472,Dataset!A:L,2,FALSE)</f>
        <v>Victoria Hayden</v>
      </c>
      <c r="C472" s="2" t="str">
        <f>VLOOKUP(A472,Dataset!A:L,3,FALSE)</f>
        <v>T-Shirts</v>
      </c>
      <c r="D472" s="2" t="str">
        <f>VLOOKUP(A472,Dataset!A:L,4,FALSE)</f>
        <v>Oversized T-shirt</v>
      </c>
      <c r="E472" s="2">
        <f>VLOOKUP(A472,Dataset!A:L,8,FALSE)</f>
        <v>0</v>
      </c>
      <c r="F472" s="6">
        <f>VLOOKUP(A472,Dataset!A:L,12,FALSE)</f>
        <v>0.59</v>
      </c>
    </row>
    <row r="473" spans="1:6">
      <c r="A473" s="5">
        <v>1471</v>
      </c>
      <c r="B473" s="2" t="str">
        <f>VLOOKUP(A473,Dataset!A:L,2,FALSE)</f>
        <v>Tammy Johnson</v>
      </c>
      <c r="C473" s="2" t="str">
        <f>VLOOKUP(A473,Dataset!A:L,3,FALSE)</f>
        <v>Accessories</v>
      </c>
      <c r="D473" s="2" t="str">
        <f>VLOOKUP(A473,Dataset!A:L,4,FALSE)</f>
        <v>Belts</v>
      </c>
      <c r="E473" s="2">
        <f>VLOOKUP(A473,Dataset!A:L,8,FALSE)</f>
        <v>-7518.33</v>
      </c>
      <c r="F473" s="6">
        <f>VLOOKUP(A473,Dataset!A:L,12,FALSE)</f>
        <v>-605.66999999999996</v>
      </c>
    </row>
    <row r="474" spans="1:6">
      <c r="A474" s="5">
        <v>1472</v>
      </c>
      <c r="B474" s="2" t="str">
        <f>VLOOKUP(A474,Dataset!A:L,2,FALSE)</f>
        <v>William Mullins</v>
      </c>
      <c r="C474" s="2" t="str">
        <f>VLOOKUP(A474,Dataset!A:L,3,FALSE)</f>
        <v>Accessories</v>
      </c>
      <c r="D474" s="2" t="str">
        <f>VLOOKUP(A474,Dataset!A:L,4,FALSE)</f>
        <v>Belts</v>
      </c>
      <c r="E474" s="2">
        <f>VLOOKUP(A474,Dataset!A:L,8,FALSE)</f>
        <v>0</v>
      </c>
      <c r="F474" s="6">
        <f>VLOOKUP(A474,Dataset!A:L,12,FALSE)</f>
        <v>-69.28</v>
      </c>
    </row>
    <row r="475" spans="1:6">
      <c r="A475" s="5">
        <v>1473</v>
      </c>
      <c r="B475" s="2" t="str">
        <f>VLOOKUP(A475,Dataset!A:L,2,FALSE)</f>
        <v>Alicia Reynolds</v>
      </c>
      <c r="C475" s="2" t="str">
        <f>VLOOKUP(A475,Dataset!A:L,3,FALSE)</f>
        <v>T-Shirts</v>
      </c>
      <c r="D475" s="2" t="str">
        <f>VLOOKUP(A475,Dataset!A:L,4,FALSE)</f>
        <v>Graphic Tee</v>
      </c>
      <c r="E475" s="2">
        <f>VLOOKUP(A475,Dataset!A:L,8,FALSE)</f>
        <v>0</v>
      </c>
      <c r="F475" s="6">
        <f>VLOOKUP(A475,Dataset!A:L,12,FALSE)</f>
        <v>1769.11</v>
      </c>
    </row>
    <row r="476" spans="1:6">
      <c r="A476" s="5">
        <v>1474</v>
      </c>
      <c r="B476" s="2" t="str">
        <f>VLOOKUP(A476,Dataset!A:L,2,FALSE)</f>
        <v>Rachel Shelton</v>
      </c>
      <c r="C476" s="2" t="str">
        <f>VLOOKUP(A476,Dataset!A:L,3,FALSE)</f>
        <v>Jackets</v>
      </c>
      <c r="D476" s="2" t="str">
        <f>VLOOKUP(A476,Dataset!A:L,4,FALSE)</f>
        <v>Denim Jacket</v>
      </c>
      <c r="E476" s="2">
        <f>VLOOKUP(A476,Dataset!A:L,8,FALSE)</f>
        <v>0</v>
      </c>
      <c r="F476" s="6">
        <f>VLOOKUP(A476,Dataset!A:L,12,FALSE)</f>
        <v>1791.38</v>
      </c>
    </row>
    <row r="477" spans="1:6">
      <c r="A477" s="5">
        <v>1475</v>
      </c>
      <c r="B477" s="2" t="str">
        <f>VLOOKUP(A477,Dataset!A:L,2,FALSE)</f>
        <v>Nancy James</v>
      </c>
      <c r="C477" s="2" t="str">
        <f>VLOOKUP(A477,Dataset!A:L,3,FALSE)</f>
        <v>T-Shirts</v>
      </c>
      <c r="D477" s="2" t="str">
        <f>VLOOKUP(A477,Dataset!A:L,4,FALSE)</f>
        <v>Oversized T-shirt</v>
      </c>
      <c r="E477" s="2">
        <f>VLOOKUP(A477,Dataset!A:L,8,FALSE)</f>
        <v>0</v>
      </c>
      <c r="F477" s="6">
        <f>VLOOKUP(A477,Dataset!A:L,12,FALSE)</f>
        <v>433.87</v>
      </c>
    </row>
    <row r="478" spans="1:6">
      <c r="A478" s="5">
        <v>1476</v>
      </c>
      <c r="B478" s="2" t="str">
        <f>VLOOKUP(A478,Dataset!A:L,2,FALSE)</f>
        <v>Seth Gonzalez</v>
      </c>
      <c r="C478" s="2" t="str">
        <f>VLOOKUP(A478,Dataset!A:L,3,FALSE)</f>
        <v>Jeans</v>
      </c>
      <c r="D478" s="2" t="str">
        <f>VLOOKUP(A478,Dataset!A:L,4,FALSE)</f>
        <v>Ripped Denim</v>
      </c>
      <c r="E478" s="2">
        <f>VLOOKUP(A478,Dataset!A:L,8,FALSE)</f>
        <v>0</v>
      </c>
      <c r="F478" s="6">
        <f>VLOOKUP(A478,Dataset!A:L,12,FALSE)</f>
        <v>1476.41</v>
      </c>
    </row>
    <row r="479" spans="1:6">
      <c r="A479" s="5">
        <v>1477</v>
      </c>
      <c r="B479" s="2" t="str">
        <f>VLOOKUP(A479,Dataset!A:L,2,FALSE)</f>
        <v>Rachel Allen</v>
      </c>
      <c r="C479" s="2" t="str">
        <f>VLOOKUP(A479,Dataset!A:L,3,FALSE)</f>
        <v>Dresses</v>
      </c>
      <c r="D479" s="2" t="str">
        <f>VLOOKUP(A479,Dataset!A:L,4,FALSE)</f>
        <v>Bodycon</v>
      </c>
      <c r="E479" s="2">
        <f>VLOOKUP(A479,Dataset!A:L,8,FALSE)</f>
        <v>0</v>
      </c>
      <c r="F479" s="6">
        <f>VLOOKUP(A479,Dataset!A:L,12,FALSE)</f>
        <v>1295.82</v>
      </c>
    </row>
    <row r="480" spans="1:6">
      <c r="A480" s="5">
        <v>1478</v>
      </c>
      <c r="B480" s="2" t="str">
        <f>VLOOKUP(A480,Dataset!A:L,2,FALSE)</f>
        <v>Jaclyn Lynch</v>
      </c>
      <c r="C480" s="2" t="str">
        <f>VLOOKUP(A480,Dataset!A:L,3,FALSE)</f>
        <v>Jackets</v>
      </c>
      <c r="D480" s="2" t="str">
        <f>VLOOKUP(A480,Dataset!A:L,4,FALSE)</f>
        <v>Denim Jacket</v>
      </c>
      <c r="E480" s="2">
        <f>VLOOKUP(A480,Dataset!A:L,8,FALSE)</f>
        <v>0</v>
      </c>
      <c r="F480" s="6">
        <f>VLOOKUP(A480,Dataset!A:L,12,FALSE)</f>
        <v>-584.69000000000005</v>
      </c>
    </row>
    <row r="481" spans="1:6">
      <c r="A481" s="5">
        <v>1479</v>
      </c>
      <c r="B481" s="2" t="str">
        <f>VLOOKUP(A481,Dataset!A:L,2,FALSE)</f>
        <v>Vicki Peterson DDS</v>
      </c>
      <c r="C481" s="2" t="str">
        <f>VLOOKUP(A481,Dataset!A:L,3,FALSE)</f>
        <v>Dresses</v>
      </c>
      <c r="D481" s="2" t="str">
        <f>VLOOKUP(A481,Dataset!A:L,4,FALSE)</f>
        <v>Maxi Dress</v>
      </c>
      <c r="E481" s="2">
        <f>VLOOKUP(A481,Dataset!A:L,8,FALSE)</f>
        <v>0</v>
      </c>
      <c r="F481" s="6">
        <f>VLOOKUP(A481,Dataset!A:L,12,FALSE)</f>
        <v>-575.87</v>
      </c>
    </row>
    <row r="482" spans="1:6">
      <c r="A482" s="5">
        <v>1480</v>
      </c>
      <c r="B482" s="2" t="str">
        <f>VLOOKUP(A482,Dataset!A:L,2,FALSE)</f>
        <v>Troy Love</v>
      </c>
      <c r="C482" s="2" t="str">
        <f>VLOOKUP(A482,Dataset!A:L,3,FALSE)</f>
        <v>Jackets</v>
      </c>
      <c r="D482" s="2" t="str">
        <f>VLOOKUP(A482,Dataset!A:L,4,FALSE)</f>
        <v>Denim Jacket</v>
      </c>
      <c r="E482" s="2">
        <f>VLOOKUP(A482,Dataset!A:L,8,FALSE)</f>
        <v>0</v>
      </c>
      <c r="F482" s="6">
        <f>VLOOKUP(A482,Dataset!A:L,12,FALSE)</f>
        <v>2956.26</v>
      </c>
    </row>
    <row r="483" spans="1:6">
      <c r="A483" s="5">
        <v>1481</v>
      </c>
      <c r="B483" s="2" t="str">
        <f>VLOOKUP(A483,Dataset!A:L,2,FALSE)</f>
        <v>David Baker</v>
      </c>
      <c r="C483" s="2" t="str">
        <f>VLOOKUP(A483,Dataset!A:L,3,FALSE)</f>
        <v>Accessories</v>
      </c>
      <c r="D483" s="2" t="str">
        <f>VLOOKUP(A483,Dataset!A:L,4,FALSE)</f>
        <v>Watches</v>
      </c>
      <c r="E483" s="2">
        <f>VLOOKUP(A483,Dataset!A:L,8,FALSE)</f>
        <v>0</v>
      </c>
      <c r="F483" s="6">
        <f>VLOOKUP(A483,Dataset!A:L,12,FALSE)</f>
        <v>375</v>
      </c>
    </row>
    <row r="484" spans="1:6">
      <c r="A484" s="5">
        <v>1482</v>
      </c>
      <c r="B484" s="2" t="str">
        <f>VLOOKUP(A484,Dataset!A:L,2,FALSE)</f>
        <v>Kristen Fuentes</v>
      </c>
      <c r="C484" s="2" t="str">
        <f>VLOOKUP(A484,Dataset!A:L,3,FALSE)</f>
        <v>Shoes</v>
      </c>
      <c r="D484" s="2" t="str">
        <f>VLOOKUP(A484,Dataset!A:L,4,FALSE)</f>
        <v>Slip-ons</v>
      </c>
      <c r="E484" s="2">
        <f>VLOOKUP(A484,Dataset!A:L,8,FALSE)</f>
        <v>0</v>
      </c>
      <c r="F484" s="6">
        <f>VLOOKUP(A484,Dataset!A:L,12,FALSE)</f>
        <v>480.43</v>
      </c>
    </row>
    <row r="485" spans="1:6">
      <c r="A485" s="5">
        <v>1483</v>
      </c>
      <c r="B485" s="2" t="str">
        <f>VLOOKUP(A485,Dataset!A:L,2,FALSE)</f>
        <v>Kenneth Barry</v>
      </c>
      <c r="C485" s="2" t="str">
        <f>VLOOKUP(A485,Dataset!A:L,3,FALSE)</f>
        <v>T-Shirts</v>
      </c>
      <c r="D485" s="2" t="str">
        <f>VLOOKUP(A485,Dataset!A:L,4,FALSE)</f>
        <v>Oversized T-shirt</v>
      </c>
      <c r="E485" s="2">
        <f>VLOOKUP(A485,Dataset!A:L,8,FALSE)</f>
        <v>0</v>
      </c>
      <c r="F485" s="6">
        <f>VLOOKUP(A485,Dataset!A:L,12,FALSE)</f>
        <v>2870.3</v>
      </c>
    </row>
    <row r="486" spans="1:6">
      <c r="A486" s="5">
        <v>1484</v>
      </c>
      <c r="B486" s="2" t="str">
        <f>VLOOKUP(A486,Dataset!A:L,2,FALSE)</f>
        <v>Judith Johnson</v>
      </c>
      <c r="C486" s="2" t="str">
        <f>VLOOKUP(A486,Dataset!A:L,3,FALSE)</f>
        <v>Jackets</v>
      </c>
      <c r="D486" s="2" t="str">
        <f>VLOOKUP(A486,Dataset!A:L,4,FALSE)</f>
        <v>Bomber Jacket</v>
      </c>
      <c r="E486" s="2">
        <f>VLOOKUP(A486,Dataset!A:L,8,FALSE)</f>
        <v>0</v>
      </c>
      <c r="F486" s="6">
        <f>VLOOKUP(A486,Dataset!A:L,12,FALSE)</f>
        <v>2357.7399999999998</v>
      </c>
    </row>
    <row r="487" spans="1:6">
      <c r="A487" s="5">
        <v>1485</v>
      </c>
      <c r="B487" s="2" t="str">
        <f>VLOOKUP(A487,Dataset!A:L,2,FALSE)</f>
        <v>Oscar Williams</v>
      </c>
      <c r="C487" s="2" t="str">
        <f>VLOOKUP(A487,Dataset!A:L,3,FALSE)</f>
        <v>Shoes</v>
      </c>
      <c r="D487" s="2" t="str">
        <f>VLOOKUP(A487,Dataset!A:L,4,FALSE)</f>
        <v>Sneakers</v>
      </c>
      <c r="E487" s="2">
        <f>VLOOKUP(A487,Dataset!A:L,8,FALSE)</f>
        <v>0</v>
      </c>
      <c r="F487" s="6">
        <f>VLOOKUP(A487,Dataset!A:L,12,FALSE)</f>
        <v>672.88</v>
      </c>
    </row>
    <row r="488" spans="1:6">
      <c r="A488" s="5">
        <v>1486</v>
      </c>
      <c r="B488" s="2" t="str">
        <f>VLOOKUP(A488,Dataset!A:L,2,FALSE)</f>
        <v>Gloria Orr</v>
      </c>
      <c r="C488" s="2" t="str">
        <f>VLOOKUP(A488,Dataset!A:L,3,FALSE)</f>
        <v>Jeans</v>
      </c>
      <c r="D488" s="2" t="str">
        <f>VLOOKUP(A488,Dataset!A:L,4,FALSE)</f>
        <v>Ripped Denim</v>
      </c>
      <c r="E488" s="2">
        <f>VLOOKUP(A488,Dataset!A:L,8,FALSE)</f>
        <v>0</v>
      </c>
      <c r="F488" s="6">
        <f>VLOOKUP(A488,Dataset!A:L,12,FALSE)</f>
        <v>2745.83</v>
      </c>
    </row>
    <row r="489" spans="1:6">
      <c r="A489" s="5">
        <v>1487</v>
      </c>
      <c r="B489" s="2" t="str">
        <f>VLOOKUP(A489,Dataset!A:L,2,FALSE)</f>
        <v>Nancy Taylor</v>
      </c>
      <c r="C489" s="2" t="str">
        <f>VLOOKUP(A489,Dataset!A:L,3,FALSE)</f>
        <v>Accessories</v>
      </c>
      <c r="D489" s="2" t="str">
        <f>VLOOKUP(A489,Dataset!A:L,4,FALSE)</f>
        <v>Sunglasses</v>
      </c>
      <c r="E489" s="2">
        <f>VLOOKUP(A489,Dataset!A:L,8,FALSE)</f>
        <v>2147.3000000000002</v>
      </c>
      <c r="F489" s="6">
        <f>VLOOKUP(A489,Dataset!A:L,12,FALSE)</f>
        <v>-849.81</v>
      </c>
    </row>
    <row r="490" spans="1:6">
      <c r="A490" s="5">
        <v>1488</v>
      </c>
      <c r="B490" s="2" t="str">
        <f>VLOOKUP(A490,Dataset!A:L,2,FALSE)</f>
        <v>Jennifer Morales DVM</v>
      </c>
      <c r="C490" s="2" t="str">
        <f>VLOOKUP(A490,Dataset!A:L,3,FALSE)</f>
        <v>Accessories</v>
      </c>
      <c r="D490" s="2" t="str">
        <f>VLOOKUP(A490,Dataset!A:L,4,FALSE)</f>
        <v>Caps</v>
      </c>
      <c r="E490" s="2">
        <f>VLOOKUP(A490,Dataset!A:L,8,FALSE)</f>
        <v>0</v>
      </c>
      <c r="F490" s="6">
        <f>VLOOKUP(A490,Dataset!A:L,12,FALSE)</f>
        <v>2121.1999999999998</v>
      </c>
    </row>
    <row r="491" spans="1:6">
      <c r="A491" s="5">
        <v>1489</v>
      </c>
      <c r="B491" s="2" t="str">
        <f>VLOOKUP(A491,Dataset!A:L,2,FALSE)</f>
        <v>Kimberly Hammond</v>
      </c>
      <c r="C491" s="2" t="str">
        <f>VLOOKUP(A491,Dataset!A:L,3,FALSE)</f>
        <v>Shoes</v>
      </c>
      <c r="D491" s="2" t="str">
        <f>VLOOKUP(A491,Dataset!A:L,4,FALSE)</f>
        <v>Sneakers</v>
      </c>
      <c r="E491" s="2">
        <f>VLOOKUP(A491,Dataset!A:L,8,FALSE)</f>
        <v>0</v>
      </c>
      <c r="F491" s="6">
        <f>VLOOKUP(A491,Dataset!A:L,12,FALSE)</f>
        <v>2102.1999999999998</v>
      </c>
    </row>
    <row r="492" spans="1:6">
      <c r="A492" s="5">
        <v>1490</v>
      </c>
      <c r="B492" s="2" t="str">
        <f>VLOOKUP(A492,Dataset!A:L,2,FALSE)</f>
        <v>Wendy Hernandez</v>
      </c>
      <c r="C492" s="2" t="str">
        <f>VLOOKUP(A492,Dataset!A:L,3,FALSE)</f>
        <v>T-Shirts</v>
      </c>
      <c r="D492" s="2" t="str">
        <f>VLOOKUP(A492,Dataset!A:L,4,FALSE)</f>
        <v>Classic Tee</v>
      </c>
      <c r="E492" s="2">
        <f>VLOOKUP(A492,Dataset!A:L,8,FALSE)</f>
        <v>0</v>
      </c>
      <c r="F492" s="6">
        <f>VLOOKUP(A492,Dataset!A:L,12,FALSE)</f>
        <v>230.97</v>
      </c>
    </row>
    <row r="493" spans="1:6">
      <c r="A493" s="5">
        <v>1491</v>
      </c>
      <c r="B493" s="2" t="str">
        <f>VLOOKUP(A493,Dataset!A:L,2,FALSE)</f>
        <v>Allen Garner</v>
      </c>
      <c r="C493" s="2" t="str">
        <f>VLOOKUP(A493,Dataset!A:L,3,FALSE)</f>
        <v>Shoes</v>
      </c>
      <c r="D493" s="2" t="str">
        <f>VLOOKUP(A493,Dataset!A:L,4,FALSE)</f>
        <v>Sneakers</v>
      </c>
      <c r="E493" s="2">
        <f>VLOOKUP(A493,Dataset!A:L,8,FALSE)</f>
        <v>0</v>
      </c>
      <c r="F493" s="6">
        <f>VLOOKUP(A493,Dataset!A:L,12,FALSE)</f>
        <v>2039.1</v>
      </c>
    </row>
    <row r="494" spans="1:6">
      <c r="A494" s="5">
        <v>1492</v>
      </c>
      <c r="B494" s="2" t="str">
        <f>VLOOKUP(A494,Dataset!A:L,2,FALSE)</f>
        <v>Richard Stephenson</v>
      </c>
      <c r="C494" s="2" t="str">
        <f>VLOOKUP(A494,Dataset!A:L,3,FALSE)</f>
        <v>T-Shirts</v>
      </c>
      <c r="D494" s="2" t="str">
        <f>VLOOKUP(A494,Dataset!A:L,4,FALSE)</f>
        <v>Classic Tee</v>
      </c>
      <c r="E494" s="2">
        <f>VLOOKUP(A494,Dataset!A:L,8,FALSE)</f>
        <v>0</v>
      </c>
      <c r="F494" s="6">
        <f>VLOOKUP(A494,Dataset!A:L,12,FALSE)</f>
        <v>-308.83</v>
      </c>
    </row>
    <row r="495" spans="1:6">
      <c r="A495" s="5">
        <v>1493</v>
      </c>
      <c r="B495" s="2" t="str">
        <f>VLOOKUP(A495,Dataset!A:L,2,FALSE)</f>
        <v>Mr. Gary Wilson</v>
      </c>
      <c r="C495" s="2" t="str">
        <f>VLOOKUP(A495,Dataset!A:L,3,FALSE)</f>
        <v>Dresses</v>
      </c>
      <c r="D495" s="2" t="str">
        <f>VLOOKUP(A495,Dataset!A:L,4,FALSE)</f>
        <v>Wrap Dress</v>
      </c>
      <c r="E495" s="2">
        <f>VLOOKUP(A495,Dataset!A:L,8,FALSE)</f>
        <v>0</v>
      </c>
      <c r="F495" s="6">
        <f>VLOOKUP(A495,Dataset!A:L,12,FALSE)</f>
        <v>478.28</v>
      </c>
    </row>
    <row r="496" spans="1:6">
      <c r="A496" s="5">
        <v>1494</v>
      </c>
      <c r="B496" s="2" t="str">
        <f>VLOOKUP(A496,Dataset!A:L,2,FALSE)</f>
        <v>Elizabeth Nelson</v>
      </c>
      <c r="C496" s="2" t="str">
        <f>VLOOKUP(A496,Dataset!A:L,3,FALSE)</f>
        <v>Jeans</v>
      </c>
      <c r="D496" s="2" t="str">
        <f>VLOOKUP(A496,Dataset!A:L,4,FALSE)</f>
        <v>Straight Cut</v>
      </c>
      <c r="E496" s="2">
        <f>VLOOKUP(A496,Dataset!A:L,8,FALSE)</f>
        <v>0</v>
      </c>
      <c r="F496" s="6">
        <f>VLOOKUP(A496,Dataset!A:L,12,FALSE)</f>
        <v>386.01</v>
      </c>
    </row>
    <row r="497" spans="1:6">
      <c r="A497" s="5">
        <v>1495</v>
      </c>
      <c r="B497" s="2" t="str">
        <f>VLOOKUP(A497,Dataset!A:L,2,FALSE)</f>
        <v>James Mcguire</v>
      </c>
      <c r="C497" s="2" t="str">
        <f>VLOOKUP(A497,Dataset!A:L,3,FALSE)</f>
        <v>Accessories</v>
      </c>
      <c r="D497" s="2" t="str">
        <f>VLOOKUP(A497,Dataset!A:L,4,FALSE)</f>
        <v>Watches</v>
      </c>
      <c r="E497" s="2">
        <f>VLOOKUP(A497,Dataset!A:L,8,FALSE)</f>
        <v>0</v>
      </c>
      <c r="F497" s="6">
        <f>VLOOKUP(A497,Dataset!A:L,12,FALSE)</f>
        <v>2044.15</v>
      </c>
    </row>
    <row r="498" spans="1:6">
      <c r="A498" s="5">
        <v>1496</v>
      </c>
      <c r="B498" s="2" t="str">
        <f>VLOOKUP(A498,Dataset!A:L,2,FALSE)</f>
        <v>Laura Myers</v>
      </c>
      <c r="C498" s="2" t="str">
        <f>VLOOKUP(A498,Dataset!A:L,3,FALSE)</f>
        <v>Jackets</v>
      </c>
      <c r="D498" s="2" t="str">
        <f>VLOOKUP(A498,Dataset!A:L,4,FALSE)</f>
        <v>Denim Jacket</v>
      </c>
      <c r="E498" s="2">
        <f>VLOOKUP(A498,Dataset!A:L,8,FALSE)</f>
        <v>0</v>
      </c>
      <c r="F498" s="6">
        <f>VLOOKUP(A498,Dataset!A:L,12,FALSE)</f>
        <v>2438.13</v>
      </c>
    </row>
    <row r="499" spans="1:6">
      <c r="A499" s="5">
        <v>1497</v>
      </c>
      <c r="B499" s="2" t="str">
        <f>VLOOKUP(A499,Dataset!A:L,2,FALSE)</f>
        <v>Joseph Anderson</v>
      </c>
      <c r="C499" s="2" t="str">
        <f>VLOOKUP(A499,Dataset!A:L,3,FALSE)</f>
        <v>Accessories</v>
      </c>
      <c r="D499" s="2" t="str">
        <f>VLOOKUP(A499,Dataset!A:L,4,FALSE)</f>
        <v>Belts</v>
      </c>
      <c r="E499" s="2">
        <f>VLOOKUP(A499,Dataset!A:L,8,FALSE)</f>
        <v>0</v>
      </c>
      <c r="F499" s="6">
        <f>VLOOKUP(A499,Dataset!A:L,12,FALSE)</f>
        <v>1561.06</v>
      </c>
    </row>
    <row r="500" spans="1:6">
      <c r="A500" s="5">
        <v>1498</v>
      </c>
      <c r="B500" s="2" t="str">
        <f>VLOOKUP(A500,Dataset!A:L,2,FALSE)</f>
        <v>Tiffany Calhoun</v>
      </c>
      <c r="C500" s="2" t="str">
        <f>VLOOKUP(A500,Dataset!A:L,3,FALSE)</f>
        <v>Jeans</v>
      </c>
      <c r="D500" s="2" t="str">
        <f>VLOOKUP(A500,Dataset!A:L,4,FALSE)</f>
        <v>Straight Cut</v>
      </c>
      <c r="E500" s="2">
        <f>VLOOKUP(A500,Dataset!A:L,8,FALSE)</f>
        <v>0</v>
      </c>
      <c r="F500" s="6">
        <f>VLOOKUP(A500,Dataset!A:L,12,FALSE)</f>
        <v>2442.42</v>
      </c>
    </row>
    <row r="501" spans="1:6">
      <c r="A501" s="5">
        <v>1499</v>
      </c>
      <c r="B501" s="2" t="str">
        <f>VLOOKUP(A501,Dataset!A:L,2,FALSE)</f>
        <v>Lauren Ellis</v>
      </c>
      <c r="C501" s="2" t="str">
        <f>VLOOKUP(A501,Dataset!A:L,3,FALSE)</f>
        <v>T-Shirts</v>
      </c>
      <c r="D501" s="2" t="str">
        <f>VLOOKUP(A501,Dataset!A:L,4,FALSE)</f>
        <v>Crop Top</v>
      </c>
      <c r="E501" s="2">
        <f>VLOOKUP(A501,Dataset!A:L,8,FALSE)</f>
        <v>0</v>
      </c>
      <c r="F501" s="6">
        <f>VLOOKUP(A501,Dataset!A:L,12,FALSE)</f>
        <v>2116.52</v>
      </c>
    </row>
    <row r="502" spans="1:6">
      <c r="A502" s="10">
        <v>1500</v>
      </c>
      <c r="B502" s="11" t="str">
        <f>VLOOKUP(A502,Dataset!A:L,2,FALSE)</f>
        <v>Jerry Turner</v>
      </c>
      <c r="C502" s="11" t="str">
        <f>VLOOKUP(A502,Dataset!A:L,3,FALSE)</f>
        <v>Jeans</v>
      </c>
      <c r="D502" s="11" t="str">
        <f>VLOOKUP(A502,Dataset!A:L,4,FALSE)</f>
        <v>Straight Cut</v>
      </c>
      <c r="E502" s="11">
        <f>VLOOKUP(A502,Dataset!A:L,8,FALSE)</f>
        <v>0</v>
      </c>
      <c r="F502" s="12">
        <f>VLOOKUP(A502,Dataset!A:L,12,FALSE)</f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0073-3314-44ED-AA03-B0B2DC8DC939}">
  <dimension ref="A1:A13"/>
  <sheetViews>
    <sheetView workbookViewId="0">
      <selection activeCell="N1" sqref="N1"/>
    </sheetView>
  </sheetViews>
  <sheetFormatPr defaultRowHeight="14.4"/>
  <sheetData>
    <row r="1" spans="1:1" ht="21">
      <c r="A1" s="3" t="s">
        <v>550</v>
      </c>
    </row>
    <row r="2" spans="1:1">
      <c r="A2" s="4" t="s">
        <v>551</v>
      </c>
    </row>
    <row r="4" spans="1:1">
      <c r="A4" t="s">
        <v>552</v>
      </c>
    </row>
    <row r="5" spans="1:1">
      <c r="A5" t="s">
        <v>553</v>
      </c>
    </row>
    <row r="6" spans="1:1">
      <c r="A6" t="s">
        <v>554</v>
      </c>
    </row>
    <row r="7" spans="1:1">
      <c r="A7" t="s">
        <v>555</v>
      </c>
    </row>
    <row r="8" spans="1:1">
      <c r="A8" t="s">
        <v>561</v>
      </c>
    </row>
    <row r="9" spans="1:1">
      <c r="A9" t="s">
        <v>556</v>
      </c>
    </row>
    <row r="10" spans="1:1">
      <c r="A10" t="s">
        <v>557</v>
      </c>
    </row>
    <row r="11" spans="1:1">
      <c r="A11" t="s">
        <v>558</v>
      </c>
    </row>
    <row r="12" spans="1:1">
      <c r="A12" t="s">
        <v>559</v>
      </c>
    </row>
    <row r="13" spans="1:1">
      <c r="A13" t="s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FF44C-7B3A-4B78-ADBC-2AA6CF9D2D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Day 13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2026-06-27T17:58:03Z</dcterms:created>
  <dcterms:modified xsi:type="dcterms:W3CDTF">2026-07-05T04:18:21Z</dcterms:modified>
</cp:coreProperties>
</file>
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Coding Challenge\"/>
    </mc:Choice>
  </mc:AlternateContent>
  <xr:revisionPtr revIDLastSave="0" documentId="13_ncr:1_{EFE0D641-3C3E-4F45-8133-D156D3BA638A}" xr6:coauthVersionLast="47" xr6:coauthVersionMax="47" xr10:uidLastSave="{00000000-0000-0000-0000-000000000000}"/>
  <bookViews>
    <workbookView xWindow="-108" yWindow="-108" windowWidth="23256" windowHeight="12456" activeTab="2" xr2:uid="{048402DE-823D-4954-8738-E00CF187EDFD}"/>
  </bookViews>
  <sheets>
    <sheet name="Dataset" sheetId="1" r:id="rId1"/>
    <sheet name="Day 13" sheetId="2" r:id="rId2"/>
    <sheet name="Observation" sheetId="3" r:id="rId3"/>
  </sheets>
  <definedNames>
    <definedName name="ExternalData_1" localSheetId="0" hidden="1">Dataset!$A$1:$L$502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2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48A4FD-1F29-413A-8E39-844AE4CB2765}" keepAlive="1" name="Query - Table4 (2)" description="Connection to the 'Table4 (2)' query in the workbook." type="5" refreshedVersion="8" background="1" saveData="1">
    <dbPr connection="Provider=Microsoft.Mashup.OleDb.1;Data Source=$Workbook$;Location=&quot;Table4 (2)&quot;;Extended Properties=&quot;&quot;" command="SELECT * FROM [Table4 (2)]"/>
  </connection>
</connections>
</file>

<file path=xl/sharedStrings.xml><?xml version="1.0" encoding="utf-8"?>
<sst xmlns="http://schemas.openxmlformats.org/spreadsheetml/2006/main" count="2535" uniqueCount="562">
  <si>
    <t>Order_ID</t>
  </si>
  <si>
    <t>Customer_Name</t>
  </si>
  <si>
    <t>Product_Category</t>
  </si>
  <si>
    <t>Product_Name</t>
  </si>
  <si>
    <t>Unit_Sold</t>
  </si>
  <si>
    <t>Unit_Price</t>
  </si>
  <si>
    <t>Discount_%</t>
  </si>
  <si>
    <t>Sales_Amount</t>
  </si>
  <si>
    <t>Order_Date</t>
  </si>
  <si>
    <t>City</t>
  </si>
  <si>
    <t>Segment</t>
  </si>
  <si>
    <t>Profit</t>
  </si>
  <si>
    <t>Brian Thompson</t>
  </si>
  <si>
    <t>Jeans</t>
  </si>
  <si>
    <t>Slim Fit Jeans</t>
  </si>
  <si>
    <t>Delhi</t>
  </si>
  <si>
    <t>B2C</t>
  </si>
  <si>
    <t>Shaun Ross</t>
  </si>
  <si>
    <t>Ahmedabad</t>
  </si>
  <si>
    <t>Sarah Snyder</t>
  </si>
  <si>
    <t>Jackets</t>
  </si>
  <si>
    <t>Puffer Coat</t>
  </si>
  <si>
    <t>Mumbai</t>
  </si>
  <si>
    <t>B2B</t>
  </si>
  <si>
    <t>Jay Briggs</t>
  </si>
  <si>
    <t>Shoes</t>
  </si>
  <si>
    <t>Loafers</t>
  </si>
  <si>
    <t>Bengaluru</t>
  </si>
  <si>
    <t>Maria Blake</t>
  </si>
  <si>
    <t>Accessories</t>
  </si>
  <si>
    <t>Belts</t>
  </si>
  <si>
    <t>Hyderabad</t>
  </si>
  <si>
    <t>Samuel Miller</t>
  </si>
  <si>
    <t>T-Shirts</t>
  </si>
  <si>
    <t>Crop Top</t>
  </si>
  <si>
    <t>John Mclean</t>
  </si>
  <si>
    <t>Boyfriend Jeans</t>
  </si>
  <si>
    <t>Dr. Kathryn Bass PhD</t>
  </si>
  <si>
    <t>Dresses</t>
  </si>
  <si>
    <t>Casual Midi</t>
  </si>
  <si>
    <t>Marie Fisher</t>
  </si>
  <si>
    <t>Sunglasses</t>
  </si>
  <si>
    <t>Dale Perry</t>
  </si>
  <si>
    <t>Oversized T-shirt</t>
  </si>
  <si>
    <t>Oscar Turner</t>
  </si>
  <si>
    <t>Pune</t>
  </si>
  <si>
    <t>Jacob Sanchez</t>
  </si>
  <si>
    <t>Valerie Hampton</t>
  </si>
  <si>
    <t>Straight Cut</t>
  </si>
  <si>
    <t>James Delgado</t>
  </si>
  <si>
    <t>Richard Hood</t>
  </si>
  <si>
    <t>Julie Fox</t>
  </si>
  <si>
    <t>Sneakers</t>
  </si>
  <si>
    <t>Valerie Garner</t>
  </si>
  <si>
    <t>Alejandro Johnson</t>
  </si>
  <si>
    <t>Andrew Washington</t>
  </si>
  <si>
    <t>Maxi Dress</t>
  </si>
  <si>
    <t>Mark Allison</t>
  </si>
  <si>
    <t>Russell Eaton</t>
  </si>
  <si>
    <t>Amber Bowman</t>
  </si>
  <si>
    <t>Wrap Dress</t>
  </si>
  <si>
    <t>Lauren Jensen</t>
  </si>
  <si>
    <t>David Arnold</t>
  </si>
  <si>
    <t>Slip-ons</t>
  </si>
  <si>
    <t>Thomas Long</t>
  </si>
  <si>
    <t>Christine Reed</t>
  </si>
  <si>
    <t>Colton Baxter</t>
  </si>
  <si>
    <t>Rebecca Dorsey</t>
  </si>
  <si>
    <t>Felicia Orozco</t>
  </si>
  <si>
    <t>Classic Tee</t>
  </si>
  <si>
    <t>Terry Anderson</t>
  </si>
  <si>
    <t>Brandi Jones</t>
  </si>
  <si>
    <t>William Williams</t>
  </si>
  <si>
    <t>Kim Harris</t>
  </si>
  <si>
    <t>Jonathan Neal</t>
  </si>
  <si>
    <t>Nathan Stewart</t>
  </si>
  <si>
    <t>Joshua Thomas</t>
  </si>
  <si>
    <t>Bomber Jacket</t>
  </si>
  <si>
    <t>Connie Cunningham</t>
  </si>
  <si>
    <t>Graphic Tee</t>
  </si>
  <si>
    <t>Amy Martin</t>
  </si>
  <si>
    <t>Courtney Riddle</t>
  </si>
  <si>
    <t>Ashley Ramirez</t>
  </si>
  <si>
    <t>Boots</t>
  </si>
  <si>
    <t>Angel Nelson</t>
  </si>
  <si>
    <t>Denim Jacket</t>
  </si>
  <si>
    <t>Teresa Chavez</t>
  </si>
  <si>
    <t>Richard Williams</t>
  </si>
  <si>
    <t>Bodycon</t>
  </si>
  <si>
    <t>Deborah Walker</t>
  </si>
  <si>
    <t>Elizabeth Williams</t>
  </si>
  <si>
    <t>Connie Mills</t>
  </si>
  <si>
    <t>Charlotte Cook</t>
  </si>
  <si>
    <t>Matthew Thompson</t>
  </si>
  <si>
    <t>James Hughes</t>
  </si>
  <si>
    <t>Kimberly Anderson</t>
  </si>
  <si>
    <t>Matthew Schmidt</t>
  </si>
  <si>
    <t>Eric Wilson</t>
  </si>
  <si>
    <t>Zachary Ramos</t>
  </si>
  <si>
    <t>Ripped Denim</t>
  </si>
  <si>
    <t>Debra Pollard</t>
  </si>
  <si>
    <t>Angela Martinez</t>
  </si>
  <si>
    <t>Brett Burch</t>
  </si>
  <si>
    <t>Jennifer English</t>
  </si>
  <si>
    <t>Penny Campbell</t>
  </si>
  <si>
    <t>Karen Garcia</t>
  </si>
  <si>
    <t>John Ramos</t>
  </si>
  <si>
    <t>Dylan Roberson</t>
  </si>
  <si>
    <t>Kelsey Reyes</t>
  </si>
  <si>
    <t>Larry Gibson</t>
  </si>
  <si>
    <t>Kristin Ho</t>
  </si>
  <si>
    <t>Jessica Johnston</t>
  </si>
  <si>
    <t>Amanda Parker</t>
  </si>
  <si>
    <t>Joshua Figueroa</t>
  </si>
  <si>
    <t>Julie Howard</t>
  </si>
  <si>
    <t>Brandon Lin</t>
  </si>
  <si>
    <t>Anna Allen</t>
  </si>
  <si>
    <t>Watches</t>
  </si>
  <si>
    <t>Kimberly Ho</t>
  </si>
  <si>
    <t>Leather Jacket</t>
  </si>
  <si>
    <t>Nancy White</t>
  </si>
  <si>
    <t>Eric Salazar</t>
  </si>
  <si>
    <t>Michael Williamson</t>
  </si>
  <si>
    <t>Lynn Morales</t>
  </si>
  <si>
    <t>Jennifer Horn</t>
  </si>
  <si>
    <t>Lori Preston</t>
  </si>
  <si>
    <t>Gabriel Parrish</t>
  </si>
  <si>
    <t>Debbie Raymond</t>
  </si>
  <si>
    <t>Cheryl Clark</t>
  </si>
  <si>
    <t>Laura Thompson</t>
  </si>
  <si>
    <t>Mary Lin</t>
  </si>
  <si>
    <t>Nicholas White</t>
  </si>
  <si>
    <t>Timothy Farmer</t>
  </si>
  <si>
    <t>Kevin Martinez</t>
  </si>
  <si>
    <t>James Martinez</t>
  </si>
  <si>
    <t>Douglas Nelson</t>
  </si>
  <si>
    <t>Thomas Ramirez</t>
  </si>
  <si>
    <t>David Faulkner</t>
  </si>
  <si>
    <t>Caps</t>
  </si>
  <si>
    <t>Dennis Ross</t>
  </si>
  <si>
    <t>Heather Arnold</t>
  </si>
  <si>
    <t>David Bridges</t>
  </si>
  <si>
    <t>Jennifer Keller</t>
  </si>
  <si>
    <t>Amanda Myers</t>
  </si>
  <si>
    <t>Betty Middleton</t>
  </si>
  <si>
    <t>Laura Porter</t>
  </si>
  <si>
    <t>Carla Phillips</t>
  </si>
  <si>
    <t>Amber Smith</t>
  </si>
  <si>
    <t>Diana Jones</t>
  </si>
  <si>
    <t>Valerie Walker</t>
  </si>
  <si>
    <t>Daniel Brown</t>
  </si>
  <si>
    <t>Stephen Smith</t>
  </si>
  <si>
    <t>Kimberly Walter</t>
  </si>
  <si>
    <t>Brandon Webb</t>
  </si>
  <si>
    <t>Andrew Moreno</t>
  </si>
  <si>
    <t>Willie Smith</t>
  </si>
  <si>
    <t>Evelyn Allison</t>
  </si>
  <si>
    <t>Elizabeth Hood</t>
  </si>
  <si>
    <t>Nathaniel Thomas</t>
  </si>
  <si>
    <t>Nicole Evans</t>
  </si>
  <si>
    <t>Michael Velasquez</t>
  </si>
  <si>
    <t>Tammy Gonzales</t>
  </si>
  <si>
    <t>Sherry Shepard</t>
  </si>
  <si>
    <t>Derek Edwards</t>
  </si>
  <si>
    <t>Robert Williams</t>
  </si>
  <si>
    <t>Carolyn Nelson</t>
  </si>
  <si>
    <t>Olivia Jones</t>
  </si>
  <si>
    <t>Molly Johnson</t>
  </si>
  <si>
    <t>Jose Jackson</t>
  </si>
  <si>
    <t>Elizabeth Vega</t>
  </si>
  <si>
    <t>Angelica Gonzalez</t>
  </si>
  <si>
    <t>Henry Parker</t>
  </si>
  <si>
    <t>Jennifer Lee</t>
  </si>
  <si>
    <t>Michael Clarke</t>
  </si>
  <si>
    <t>Jessica Gibson</t>
  </si>
  <si>
    <t>Jason Turner</t>
  </si>
  <si>
    <t>Grant Munoz</t>
  </si>
  <si>
    <t>Rhonda Ray</t>
  </si>
  <si>
    <t>Susan Anderson</t>
  </si>
  <si>
    <t>Miranda Thomas</t>
  </si>
  <si>
    <t>Grace Chavez</t>
  </si>
  <si>
    <t>Andrew Carlson</t>
  </si>
  <si>
    <t>Erin Williams</t>
  </si>
  <si>
    <t>Melissa Jenkins</t>
  </si>
  <si>
    <t>Ronald Ballard</t>
  </si>
  <si>
    <t>Danielle Johnson</t>
  </si>
  <si>
    <t>Jason Moore</t>
  </si>
  <si>
    <t>Thomas Freeman</t>
  </si>
  <si>
    <t>Katherine Reyes</t>
  </si>
  <si>
    <t>Dawn Smith</t>
  </si>
  <si>
    <t>Sarah Pacheco</t>
  </si>
  <si>
    <t>Daniel Alvarez</t>
  </si>
  <si>
    <t>Bernard Ramirez</t>
  </si>
  <si>
    <t>Mrs. Julia Ramirez</t>
  </si>
  <si>
    <t>Jorge Anderson</t>
  </si>
  <si>
    <t>Jacqueline Jenkins</t>
  </si>
  <si>
    <t>Tracy Miller</t>
  </si>
  <si>
    <t>Travis Lopez</t>
  </si>
  <si>
    <t>Steven Ortiz</t>
  </si>
  <si>
    <t>Brittany Robinson</t>
  </si>
  <si>
    <t>Joseph Allen</t>
  </si>
  <si>
    <t>Matthew Deleon</t>
  </si>
  <si>
    <t>Julia Evans</t>
  </si>
  <si>
    <t>Robert Parks</t>
  </si>
  <si>
    <t>Sean Small</t>
  </si>
  <si>
    <t>Jacob Moore</t>
  </si>
  <si>
    <t>Dean Allen</t>
  </si>
  <si>
    <t>Vicki Jackson</t>
  </si>
  <si>
    <t>Robert Knox</t>
  </si>
  <si>
    <t>Ruben Oconnell</t>
  </si>
  <si>
    <t>Laura Gallegos</t>
  </si>
  <si>
    <t>Christopher Harvey</t>
  </si>
  <si>
    <t>Scott Hampton</t>
  </si>
  <si>
    <t>Steven Ingram</t>
  </si>
  <si>
    <t>Joshua Jones</t>
  </si>
  <si>
    <t>Jennifer Johnson</t>
  </si>
  <si>
    <t>Robert Evans</t>
  </si>
  <si>
    <t>Eugene Olson Jr.</t>
  </si>
  <si>
    <t>Kristine Sexton</t>
  </si>
  <si>
    <t>Marc Hull</t>
  </si>
  <si>
    <t>Richard Johnson</t>
  </si>
  <si>
    <t>Diane Davis</t>
  </si>
  <si>
    <t>Shaun Bush</t>
  </si>
  <si>
    <t>Tiffany Flores</t>
  </si>
  <si>
    <t>Ashley Brown</t>
  </si>
  <si>
    <t>Bailey Williamson</t>
  </si>
  <si>
    <t>Elizabeth Torres</t>
  </si>
  <si>
    <t>Joshua Anderson</t>
  </si>
  <si>
    <t>Kevin Allen</t>
  </si>
  <si>
    <t>Michelle Moore</t>
  </si>
  <si>
    <t>John Barber</t>
  </si>
  <si>
    <t>Andrew Mclaughlin</t>
  </si>
  <si>
    <t>Sherry Ward</t>
  </si>
  <si>
    <t>Craig Farrell</t>
  </si>
  <si>
    <t>Stacy Brady</t>
  </si>
  <si>
    <t>Daniel Patton</t>
  </si>
  <si>
    <t>Karen Smith</t>
  </si>
  <si>
    <t>Maria Morrow</t>
  </si>
  <si>
    <t>Elizabeth Johnson</t>
  </si>
  <si>
    <t>Antonio Boyd PhD</t>
  </si>
  <si>
    <t>John Tucker</t>
  </si>
  <si>
    <t>Steve Mann</t>
  </si>
  <si>
    <t>Christine Lopez</t>
  </si>
  <si>
    <t>Stephanie Booth</t>
  </si>
  <si>
    <t>Christine Rodgers</t>
  </si>
  <si>
    <t>Michael Hawkins</t>
  </si>
  <si>
    <t>Dean Jimenez</t>
  </si>
  <si>
    <t>Jacqueline Erickson</t>
  </si>
  <si>
    <t>Jade Chavez</t>
  </si>
  <si>
    <t>Laura Green</t>
  </si>
  <si>
    <t>Crystal Hayes MD</t>
  </si>
  <si>
    <t>Amy Walker</t>
  </si>
  <si>
    <t>Amy Gonzales</t>
  </si>
  <si>
    <t>David Parker</t>
  </si>
  <si>
    <t>Jennifer Williams</t>
  </si>
  <si>
    <t>Charles White</t>
  </si>
  <si>
    <t>Jerome Richardson</t>
  </si>
  <si>
    <t>Jean Yoder</t>
  </si>
  <si>
    <t>Theodore Yang</t>
  </si>
  <si>
    <t>Rebecca Grant</t>
  </si>
  <si>
    <t>Kelli Young</t>
  </si>
  <si>
    <t>Bradley Quinn</t>
  </si>
  <si>
    <t>Darrell Reynolds</t>
  </si>
  <si>
    <t>Alicia Hernandez</t>
  </si>
  <si>
    <t>Melanie Hoffman</t>
  </si>
  <si>
    <t>Benjamin Dunlap</t>
  </si>
  <si>
    <t>Cheryl King</t>
  </si>
  <si>
    <t>Jamie Alexander</t>
  </si>
  <si>
    <t>Kayla Crawford</t>
  </si>
  <si>
    <t>Amber Rivera</t>
  </si>
  <si>
    <t>Cody Mitchell</t>
  </si>
  <si>
    <t>Karen Pennington</t>
  </si>
  <si>
    <t>Nicholas Thompson</t>
  </si>
  <si>
    <t>Shelby Lewis</t>
  </si>
  <si>
    <t>Gregory Flores</t>
  </si>
  <si>
    <t>Jeffrey Haynes</t>
  </si>
  <si>
    <t>Antonio Moses</t>
  </si>
  <si>
    <t>Dr. Adam Schultz</t>
  </si>
  <si>
    <t>Allen Burton</t>
  </si>
  <si>
    <t>Adam Bennett</t>
  </si>
  <si>
    <t>Ashley Stevens</t>
  </si>
  <si>
    <t>Sierra Miller</t>
  </si>
  <si>
    <t>Katie Garcia</t>
  </si>
  <si>
    <t>Timothy Goodman</t>
  </si>
  <si>
    <t>Rebecca Drake</t>
  </si>
  <si>
    <t>Juan White</t>
  </si>
  <si>
    <t>Matthew Holloway</t>
  </si>
  <si>
    <t>Scott Weeks</t>
  </si>
  <si>
    <t>Karina Davis</t>
  </si>
  <si>
    <t>Melanie Ramirez</t>
  </si>
  <si>
    <t>Caroline Thomas</t>
  </si>
  <si>
    <t>Pamela Navarro</t>
  </si>
  <si>
    <t>Jack Mccoy</t>
  </si>
  <si>
    <t>Ashley Walker</t>
  </si>
  <si>
    <t>Christopher Mcknight</t>
  </si>
  <si>
    <t>Dr. Derrick Scott</t>
  </si>
  <si>
    <t>Jared Tate</t>
  </si>
  <si>
    <t>Edward Morgan</t>
  </si>
  <si>
    <t>Tim Bauer</t>
  </si>
  <si>
    <t>Anthony Lee</t>
  </si>
  <si>
    <t>Hailey Sullivan</t>
  </si>
  <si>
    <t>Brandy Clark</t>
  </si>
  <si>
    <t>Carlos Anderson</t>
  </si>
  <si>
    <t>Michael Henson</t>
  </si>
  <si>
    <t>Kim Campos</t>
  </si>
  <si>
    <t>Janet Cooley</t>
  </si>
  <si>
    <t>Mr. Matthew Gomez DDS</t>
  </si>
  <si>
    <t>Shane Gomez</t>
  </si>
  <si>
    <t>Tyler Haney</t>
  </si>
  <si>
    <t>Lindsay Haney</t>
  </si>
  <si>
    <t>Manuel Prince</t>
  </si>
  <si>
    <t>George Gray</t>
  </si>
  <si>
    <t>Ryan Graves</t>
  </si>
  <si>
    <t>Ernest Myers</t>
  </si>
  <si>
    <t>Brandi Lang</t>
  </si>
  <si>
    <t>Gloria Barnett</t>
  </si>
  <si>
    <t>Sarah Andrews</t>
  </si>
  <si>
    <t>Sonya Martinez</t>
  </si>
  <si>
    <t>Brittany Harris</t>
  </si>
  <si>
    <t>Vanessa Kelley</t>
  </si>
  <si>
    <t>Robert Gonzalez</t>
  </si>
  <si>
    <t>Angela Taylor</t>
  </si>
  <si>
    <t>Bradley Myers</t>
  </si>
  <si>
    <t>Russell Love</t>
  </si>
  <si>
    <t>Kelly Wong</t>
  </si>
  <si>
    <t>Erin Wright</t>
  </si>
  <si>
    <t>Michael Coleman</t>
  </si>
  <si>
    <t>Jessica Kirby</t>
  </si>
  <si>
    <t>Laura Romero</t>
  </si>
  <si>
    <t>Joseph Joseph</t>
  </si>
  <si>
    <t>Christopher Ferguson</t>
  </si>
  <si>
    <t>Kevin Hunter</t>
  </si>
  <si>
    <t>Kelly Gray</t>
  </si>
  <si>
    <t>Carlos Walsh</t>
  </si>
  <si>
    <t>Deborah Mckee</t>
  </si>
  <si>
    <t>Andrew Harmon</t>
  </si>
  <si>
    <t>Todd Hall</t>
  </si>
  <si>
    <t>Danny Gilbert</t>
  </si>
  <si>
    <t>Lauren Johnson</t>
  </si>
  <si>
    <t>Katherine Parsons</t>
  </si>
  <si>
    <t>Jason Calhoun</t>
  </si>
  <si>
    <t>Amy Howard</t>
  </si>
  <si>
    <t>Cindy Hall</t>
  </si>
  <si>
    <t>Jeff Hernandez</t>
  </si>
  <si>
    <t>Tiffany Maxwell</t>
  </si>
  <si>
    <t>Lori Orozco</t>
  </si>
  <si>
    <t>Sharon Combs</t>
  </si>
  <si>
    <t>Dylan Newton</t>
  </si>
  <si>
    <t>John Levine</t>
  </si>
  <si>
    <t>Latoya Johnson</t>
  </si>
  <si>
    <t>Caroline Turner</t>
  </si>
  <si>
    <t>Adam Bryan</t>
  </si>
  <si>
    <t>Laura Smith</t>
  </si>
  <si>
    <t>Timothy Potter</t>
  </si>
  <si>
    <t>Kelsey Stein</t>
  </si>
  <si>
    <t>Aaron Johnson</t>
  </si>
  <si>
    <t>Amber Lee</t>
  </si>
  <si>
    <t>Michael Joseph</t>
  </si>
  <si>
    <t>Tina Brown</t>
  </si>
  <si>
    <t>Thomas Smith</t>
  </si>
  <si>
    <t>Jennifer Watson</t>
  </si>
  <si>
    <t>Wendy Garcia</t>
  </si>
  <si>
    <t>Sean Pope</t>
  </si>
  <si>
    <t>Brad Mccarty</t>
  </si>
  <si>
    <t>Mark Gonzales</t>
  </si>
  <si>
    <t>Theresa Wiggins</t>
  </si>
  <si>
    <t>Mitchell Gomez</t>
  </si>
  <si>
    <t>Tony Reynolds</t>
  </si>
  <si>
    <t>Kristine Byrd</t>
  </si>
  <si>
    <t>Mark Murray</t>
  </si>
  <si>
    <t>Michael Velazquez</t>
  </si>
  <si>
    <t>Lori Benson</t>
  </si>
  <si>
    <t>Kimberly Flores</t>
  </si>
  <si>
    <t>Mike Rhodes</t>
  </si>
  <si>
    <t>Teresa Gilbert</t>
  </si>
  <si>
    <t>Theodore Sanchez</t>
  </si>
  <si>
    <t>Sarah Sosa</t>
  </si>
  <si>
    <t>Christine Drake</t>
  </si>
  <si>
    <t>Eric Medina</t>
  </si>
  <si>
    <t>Joseph Sims</t>
  </si>
  <si>
    <t>Gwendolyn Guerrero</t>
  </si>
  <si>
    <t>Chelsea Brown</t>
  </si>
  <si>
    <t>John Taylor</t>
  </si>
  <si>
    <t>Russell Douglas</t>
  </si>
  <si>
    <t>Kristen Drake</t>
  </si>
  <si>
    <t>Katie Brown</t>
  </si>
  <si>
    <t>Michelle Russell</t>
  </si>
  <si>
    <t>Charles Aguilar</t>
  </si>
  <si>
    <t>Emily Christensen</t>
  </si>
  <si>
    <t>Annette Robinson</t>
  </si>
  <si>
    <t>William White</t>
  </si>
  <si>
    <t>Chloe Martinez</t>
  </si>
  <si>
    <t>Catherine Barnett</t>
  </si>
  <si>
    <t>Jason Dixon</t>
  </si>
  <si>
    <t>Tim Jennings</t>
  </si>
  <si>
    <t>Leah Gonzalez</t>
  </si>
  <si>
    <t>Andrew Davis</t>
  </si>
  <si>
    <t>Justin Bowen</t>
  </si>
  <si>
    <t>Lisa Henry</t>
  </si>
  <si>
    <t>Sarah Vance</t>
  </si>
  <si>
    <t>Brian Edwards</t>
  </si>
  <si>
    <t>Matthew Robbins</t>
  </si>
  <si>
    <t>Kathleen Moore</t>
  </si>
  <si>
    <t>Mr. George Cooper</t>
  </si>
  <si>
    <t>Ryan James</t>
  </si>
  <si>
    <t>Veronica Cordova</t>
  </si>
  <si>
    <t>Jacob Brooks</t>
  </si>
  <si>
    <t>Matthew Brown</t>
  </si>
  <si>
    <t>Robert Harmon</t>
  </si>
  <si>
    <t>Rebecca Gonzalez</t>
  </si>
  <si>
    <t>Hannah Ball</t>
  </si>
  <si>
    <t>Krista Wright</t>
  </si>
  <si>
    <t>Marcus Powell</t>
  </si>
  <si>
    <t>Leah Madden</t>
  </si>
  <si>
    <t>Shawn Gardner</t>
  </si>
  <si>
    <t>Karen Nunez</t>
  </si>
  <si>
    <t>Laura Johnson</t>
  </si>
  <si>
    <t>Lauren Kaufman</t>
  </si>
  <si>
    <t>Patricia Pratt</t>
  </si>
  <si>
    <t>Brandon Williams</t>
  </si>
  <si>
    <t>Christopher Wilson</t>
  </si>
  <si>
    <t>Ryan Gonzalez</t>
  </si>
  <si>
    <t>Lisa Morton</t>
  </si>
  <si>
    <t>Nicholas Lee</t>
  </si>
  <si>
    <t>Kelly Vang</t>
  </si>
  <si>
    <t>Megan Smith</t>
  </si>
  <si>
    <t>Mark Matthews</t>
  </si>
  <si>
    <t>Melissa Hale</t>
  </si>
  <si>
    <t>Michael James</t>
  </si>
  <si>
    <t>Brittney Branch</t>
  </si>
  <si>
    <t>Brian Bridges</t>
  </si>
  <si>
    <t>Jeffery Green</t>
  </si>
  <si>
    <t>Rachel Bradford</t>
  </si>
  <si>
    <t>Michelle Rodriguez</t>
  </si>
  <si>
    <t>Veronica Taylor</t>
  </si>
  <si>
    <t>Crystal Molina</t>
  </si>
  <si>
    <t>Michael White</t>
  </si>
  <si>
    <t>Michael Beltran</t>
  </si>
  <si>
    <t>Barbara Jones</t>
  </si>
  <si>
    <t>Randy Baker</t>
  </si>
  <si>
    <t>James Collins</t>
  </si>
  <si>
    <t>Jonathan Montgomery</t>
  </si>
  <si>
    <t>Christina Hernandez</t>
  </si>
  <si>
    <t>Jody Larsen</t>
  </si>
  <si>
    <t>Andrew Wood</t>
  </si>
  <si>
    <t>James Rocha</t>
  </si>
  <si>
    <t>Rebekah Gonzalez</t>
  </si>
  <si>
    <t>Aaron Ruiz</t>
  </si>
  <si>
    <t>Olivia Lee</t>
  </si>
  <si>
    <t>John Carr</t>
  </si>
  <si>
    <t>Daniel Wilson</t>
  </si>
  <si>
    <t>Daniel Hernandez Jr.</t>
  </si>
  <si>
    <t>John Clark</t>
  </si>
  <si>
    <t>Hannah Martin</t>
  </si>
  <si>
    <t>Alyssa Ramirez</t>
  </si>
  <si>
    <t>Alan Johnson</t>
  </si>
  <si>
    <t>Joseph Freeman</t>
  </si>
  <si>
    <t>William Golden</t>
  </si>
  <si>
    <t>Heather Cross</t>
  </si>
  <si>
    <t>Dawn Caldwell</t>
  </si>
  <si>
    <t>Michael Bond</t>
  </si>
  <si>
    <t>Luis Mcdaniel</t>
  </si>
  <si>
    <t>Michael Harris</t>
  </si>
  <si>
    <t>Elizabeth Buchanan</t>
  </si>
  <si>
    <t>Sydney Travis</t>
  </si>
  <si>
    <t>Joshua Johnson</t>
  </si>
  <si>
    <t>Nicholas Harrell</t>
  </si>
  <si>
    <t>Christopher Anderson</t>
  </si>
  <si>
    <t>Brittney Rivera</t>
  </si>
  <si>
    <t>James Patterson</t>
  </si>
  <si>
    <t>Kenneth Jackson</t>
  </si>
  <si>
    <t>Marvin Cox</t>
  </si>
  <si>
    <t>Christopher Reeves</t>
  </si>
  <si>
    <t>Jennifer Villarreal</t>
  </si>
  <si>
    <t>Stacey Irwin</t>
  </si>
  <si>
    <t>Bryan Parks</t>
  </si>
  <si>
    <t>Angela Hall</t>
  </si>
  <si>
    <t>Stephanie Gonzalez</t>
  </si>
  <si>
    <t>Travis Vargas</t>
  </si>
  <si>
    <t>Rose Delgado</t>
  </si>
  <si>
    <t>Jennifer Lyons</t>
  </si>
  <si>
    <t>Steven Taylor</t>
  </si>
  <si>
    <t>Jesse Cooke</t>
  </si>
  <si>
    <t>Marie Sullivan</t>
  </si>
  <si>
    <t>Nicole Mills</t>
  </si>
  <si>
    <t>Erin Yu</t>
  </si>
  <si>
    <t>Rachel Savage</t>
  </si>
  <si>
    <t>Teresa Nichols</t>
  </si>
  <si>
    <t>Elijah Anderson</t>
  </si>
  <si>
    <t>Candace Smith</t>
  </si>
  <si>
    <t>Michelle Lara</t>
  </si>
  <si>
    <t>Emma Ramirez</t>
  </si>
  <si>
    <t>Danielle Shelton</t>
  </si>
  <si>
    <t>Paula Leon</t>
  </si>
  <si>
    <t>Dr. Dennis Pena</t>
  </si>
  <si>
    <t>Kelsey Wright</t>
  </si>
  <si>
    <t>Eric Williams</t>
  </si>
  <si>
    <t>Brandon Andrews</t>
  </si>
  <si>
    <t>Michelle Phillips</t>
  </si>
  <si>
    <t>Valerie Ramirez</t>
  </si>
  <si>
    <t>Rebecca Murphy</t>
  </si>
  <si>
    <t>Ricardo Kent</t>
  </si>
  <si>
    <t>Justin Carpenter</t>
  </si>
  <si>
    <t>Justin Clements</t>
  </si>
  <si>
    <t>Patty Thomas</t>
  </si>
  <si>
    <t>Madison Berry</t>
  </si>
  <si>
    <t>Danielle Washington</t>
  </si>
  <si>
    <t>Rachel Marshall</t>
  </si>
  <si>
    <t>Anna King</t>
  </si>
  <si>
    <t>Leah Chaney</t>
  </si>
  <si>
    <t>Rebecca Leach</t>
  </si>
  <si>
    <t>Miranda Higgins</t>
  </si>
  <si>
    <t>Danielle Gonzales</t>
  </si>
  <si>
    <t>Jill Johnson</t>
  </si>
  <si>
    <t>William Peck</t>
  </si>
  <si>
    <t>Keith Schroeder</t>
  </si>
  <si>
    <t>William Ortiz</t>
  </si>
  <si>
    <t>Jeremy Nash</t>
  </si>
  <si>
    <t>Craig Conner MD</t>
  </si>
  <si>
    <t>Victoria Hayden</t>
  </si>
  <si>
    <t>Tammy Johnson</t>
  </si>
  <si>
    <t>William Mullins</t>
  </si>
  <si>
    <t>Alicia Reynolds</t>
  </si>
  <si>
    <t>Rachel Shelton</t>
  </si>
  <si>
    <t>Nancy James</t>
  </si>
  <si>
    <t>Seth Gonzalez</t>
  </si>
  <si>
    <t>Rachel Allen</t>
  </si>
  <si>
    <t>Jaclyn Lynch</t>
  </si>
  <si>
    <t>Vicki Peterson DDS</t>
  </si>
  <si>
    <t>Troy Love</t>
  </si>
  <si>
    <t>David Baker</t>
  </si>
  <si>
    <t>Kristen Fuentes</t>
  </si>
  <si>
    <t>Kenneth Barry</t>
  </si>
  <si>
    <t>Judith Johnson</t>
  </si>
  <si>
    <t>Oscar Williams</t>
  </si>
  <si>
    <t>Gloria Orr</t>
  </si>
  <si>
    <t>Nancy Taylor</t>
  </si>
  <si>
    <t>Jennifer Morales DVM</t>
  </si>
  <si>
    <t>Kimberly Hammond</t>
  </si>
  <si>
    <t>Wendy Hernandez</t>
  </si>
  <si>
    <t>Allen Garner</t>
  </si>
  <si>
    <t>Richard Stephenson</t>
  </si>
  <si>
    <t>Mr. Gary Wilson</t>
  </si>
  <si>
    <t>Elizabeth Nelson</t>
  </si>
  <si>
    <t>James Mcguire</t>
  </si>
  <si>
    <t>Laura Myers</t>
  </si>
  <si>
    <t>Joseph Anderson</t>
  </si>
  <si>
    <t>Tiffany Calhoun</t>
  </si>
  <si>
    <t>Lauren Ellis</t>
  </si>
  <si>
    <t>Jerry Turner</t>
  </si>
  <si>
    <t>OBSERVATION</t>
  </si>
  <si>
    <r>
      <t>Day 13 – Lookup &amp; Reference Functions (Part 1), the task is to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duplicate the dataset using the </t>
    </r>
    <r>
      <rPr>
        <b/>
        <sz val="10"/>
        <color theme="1"/>
        <rFont val="Arial Unicode MS"/>
      </rPr>
      <t>VLOOKUP()</t>
    </r>
    <r>
      <rPr>
        <b/>
        <sz val="11"/>
        <color theme="1"/>
        <rFont val="Calibri"/>
        <family val="2"/>
        <scheme val="minor"/>
      </rPr>
      <t xml:space="preserve"> function</t>
    </r>
    <r>
      <rPr>
        <sz val="11"/>
        <color theme="1"/>
        <rFont val="Calibri"/>
        <family val="2"/>
        <scheme val="minor"/>
      </rPr>
      <t>.</t>
    </r>
  </si>
  <si>
    <t>1.VLOOKUP searches for a value in the first column of a table.</t>
  </si>
  <si>
    <t>2.It retrieves matching data from another column.</t>
  </si>
  <si>
    <r>
      <t xml:space="preserve">3.The </t>
    </r>
    <r>
      <rPr>
        <b/>
        <sz val="11"/>
        <color theme="1"/>
        <rFont val="Calibri"/>
        <family val="2"/>
        <scheme val="minor"/>
      </rPr>
      <t>Order ID</t>
    </r>
    <r>
      <rPr>
        <sz val="11"/>
        <color theme="1"/>
        <rFont val="Calibri"/>
        <family val="2"/>
        <scheme val="minor"/>
      </rPr>
      <t xml:space="preserve"> is used as the lookup value.</t>
    </r>
  </si>
  <si>
    <t>4.The duplicated dataset matches the original dataset.</t>
  </si>
  <si>
    <t>6.It reduces manual data entry errors.</t>
  </si>
  <si>
    <r>
      <t xml:space="preserve">7.Using </t>
    </r>
    <r>
      <rPr>
        <sz val="10"/>
        <color theme="1"/>
        <rFont val="Arial Unicode MS"/>
      </rPr>
      <t>FALSE</t>
    </r>
    <r>
      <rPr>
        <sz val="11"/>
        <color theme="1"/>
        <rFont val="Calibri"/>
        <family val="2"/>
        <scheme val="minor"/>
      </rPr>
      <t xml:space="preserve"> returns an exact match.</t>
    </r>
  </si>
  <si>
    <t>8.The formula can be copied down to retrieve all records.</t>
  </si>
  <si>
    <t>9.VLOOKUP is useful for combining data from different tables.</t>
  </si>
  <si>
    <t>10.Overall, VLOOKUP makes data retrieval fast and accurate.</t>
  </si>
  <si>
    <r>
      <t xml:space="preserve">5.VLOOKUP saves time by automatically fetching data  Using this </t>
    </r>
    <r>
      <rPr>
        <b/>
        <sz val="11"/>
        <color theme="1"/>
        <rFont val="Calibri"/>
        <family val="2"/>
        <scheme val="minor"/>
      </rPr>
      <t>=VLOOKUP(A2,Dataset!A:L,2,FALSE)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</si>
</sst>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rgb="FFFF0000"/>
      <name val="Arial Black"/>
      <family val="2"/>
    </font>
    <font>
      <b/>
      <sz val="10"/>
      <color theme="1"/>
      <name val="Arial Unicode MS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2" borderId="1" xfId="0" applyFont="1" applyFill="1" applyBorder="1"/>
    <xf numFmtId="0" fontId="0" fillId="0" borderId="1" xfId="0" applyBorder="1"/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79D6A34-1AAF-4D32-9A4B-F18DF4FC4587}" autoFormatId="16" applyNumberFormats="0" applyBorderFormats="0" applyFontFormats="0" applyPatternFormats="0" applyAlignmentFormats="0" applyWidthHeightFormats="0">
  <queryTableRefresh nextId="13">
    <queryTableFields count="12">
      <queryTableField id="1" name="Order_ID" tableColumnId="1"/>
      <queryTableField id="2" name="Customer_Name" tableColumnId="2"/>
      <queryTableField id="3" name="Product_Category" tableColumnId="3"/>
      <queryTableField id="4" name="Product_Name" tableColumnId="4"/>
      <queryTableField id="5" name="Unit_Sold" tableColumnId="5"/>
      <queryTableField id="6" name="Unit_Price" tableColumnId="6"/>
      <queryTableField id="7" name="Discount_%" tableColumnId="7"/>
      <queryTableField id="8" name="Sales_Amount" tableColumnId="8"/>
      <queryTableField id="9" name="Order_Date" tableColumnId="9"/>
      <queryTableField id="10" name="City" tableColumnId="10"/>
      <queryTableField id="11" name="Segment" tableColumnId="11"/>
      <queryTableField id="12" name="Profit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282D90-32A7-4B27-B9CC-65FE1B7B2C0D}" name="Table4__2" displayName="Table4__2" ref="A1:L502" tableType="queryTable" totalsRowShown="0">
  <tableColumns count="12">
    <tableColumn id="1" xr3:uid="{B1D21A9B-713B-4E9C-9D6B-6306121E2532}" uniqueName="1" name="Order_ID" queryTableFieldId="1"/>
    <tableColumn id="2" xr3:uid="{743C19BC-3BB7-4D44-B3FA-E473BA40D1FE}" uniqueName="2" name="Customer_Name" queryTableFieldId="2" dataDxfId="5"/>
    <tableColumn id="3" xr3:uid="{06207D31-7496-4F7D-B317-42D7EA4D86D6}" uniqueName="3" name="Product_Category" queryTableFieldId="3" dataDxfId="4"/>
    <tableColumn id="4" xr3:uid="{5D396B67-D9C3-4EF0-A014-40FF33B10ADE}" uniqueName="4" name="Product_Name" queryTableFieldId="4" dataDxfId="3"/>
    <tableColumn id="5" xr3:uid="{89D3F532-2070-4162-99A1-EECC28AA9EA7}" uniqueName="5" name="Unit_Sold" queryTableFieldId="5"/>
    <tableColumn id="6" xr3:uid="{123E87B2-853F-437C-A2E4-C618F5B0129D}" uniqueName="6" name="Unit_Price" queryTableFieldId="6"/>
    <tableColumn id="7" xr3:uid="{86E85E03-0B8E-4F00-8680-F0718CE6F70E}" uniqueName="7" name="Discount_%" queryTableFieldId="7"/>
    <tableColumn id="8" xr3:uid="{F4A84452-9EA8-4C08-8E4D-2F1F4198ACD3}" uniqueName="8" name="Sales_Amount" queryTableFieldId="8"/>
    <tableColumn id="9" xr3:uid="{9991B747-2D39-400A-81EE-20FF590B4B31}" uniqueName="9" name="Order_Date" queryTableFieldId="9" dataDxfId="2"/>
    <tableColumn id="10" xr3:uid="{A4E0B23E-BBDE-4B3B-899D-FEA977C69A06}" uniqueName="10" name="City" queryTableFieldId="10" dataDxfId="1"/>
    <tableColumn id="11" xr3:uid="{98102555-C264-4921-A466-6633574F56E7}" uniqueName="11" name="Segment" queryTableFieldId="11" dataDxfId="0"/>
    <tableColumn id="12" xr3:uid="{2A1CC8DB-D821-4175-8043-3500374F82C2}" uniqueName="12" name="Profit" queryTableFieldId="1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D16F-DE57-48EC-89EF-D3FCB872C2F2}">
  <dimension ref="A1:L502"/>
  <sheetViews>
    <sheetView workbookViewId="0"/>
  </sheetViews>
  <sheetFormatPr defaultRowHeight="14.4"/>
  <cols>
    <col min="1" max="1" width="10.33203125" customWidth="1"/>
    <col min="2" max="2" width="19.5546875" customWidth="1"/>
    <col min="3" max="3" width="16.6640625" customWidth="1"/>
    <col min="4" max="4" width="17.6640625" customWidth="1"/>
    <col min="5" max="5" width="11.109375" customWidth="1"/>
    <col min="6" max="6" width="14.109375" customWidth="1"/>
    <col min="7" max="7" width="11.109375" customWidth="1"/>
    <col min="8" max="8" width="11.6640625" customWidth="1"/>
    <col min="9" max="9" width="17.44140625" customWidth="1"/>
    <col min="10" max="10" width="14.6640625" customWidth="1"/>
    <col min="11" max="11" width="12.4414062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>
        <v>1000</v>
      </c>
      <c r="B2" t="s">
        <v>12</v>
      </c>
      <c r="C2" t="s">
        <v>13</v>
      </c>
      <c r="D2" t="s">
        <v>14</v>
      </c>
      <c r="E2">
        <v>2</v>
      </c>
      <c r="F2">
        <v>842</v>
      </c>
      <c r="G2">
        <v>0.6</v>
      </c>
      <c r="H2">
        <v>0</v>
      </c>
      <c r="I2" s="1">
        <v>45715</v>
      </c>
      <c r="J2" t="s">
        <v>15</v>
      </c>
      <c r="K2" t="s">
        <v>16</v>
      </c>
      <c r="L2">
        <v>2137.4499999999998</v>
      </c>
    </row>
    <row r="3" spans="1:12">
      <c r="A3">
        <v>1001</v>
      </c>
      <c r="B3" t="s">
        <v>17</v>
      </c>
      <c r="C3" t="s">
        <v>13</v>
      </c>
      <c r="D3" t="s">
        <v>14</v>
      </c>
      <c r="E3">
        <v>1</v>
      </c>
      <c r="F3">
        <v>2747.5450000000001</v>
      </c>
      <c r="G3">
        <v>0.6</v>
      </c>
      <c r="H3">
        <v>0</v>
      </c>
      <c r="I3" s="1">
        <v>45853</v>
      </c>
      <c r="J3" t="s">
        <v>18</v>
      </c>
      <c r="K3" t="s">
        <v>16</v>
      </c>
      <c r="L3">
        <v>1588.15</v>
      </c>
    </row>
    <row r="4" spans="1:12">
      <c r="A4">
        <v>1002</v>
      </c>
      <c r="B4" t="s">
        <v>19</v>
      </c>
      <c r="C4" t="s">
        <v>20</v>
      </c>
      <c r="D4" t="s">
        <v>21</v>
      </c>
      <c r="E4">
        <v>1</v>
      </c>
      <c r="F4">
        <v>637.82000000000005</v>
      </c>
      <c r="G4">
        <v>0.6</v>
      </c>
      <c r="H4">
        <v>0</v>
      </c>
      <c r="I4" s="1">
        <v>45659</v>
      </c>
      <c r="J4" t="s">
        <v>22</v>
      </c>
      <c r="K4" t="s">
        <v>23</v>
      </c>
      <c r="L4">
        <v>-158.03</v>
      </c>
    </row>
    <row r="5" spans="1:12">
      <c r="A5">
        <v>1003</v>
      </c>
      <c r="B5" t="s">
        <v>24</v>
      </c>
      <c r="C5" t="s">
        <v>25</v>
      </c>
      <c r="D5" t="s">
        <v>26</v>
      </c>
      <c r="E5">
        <v>2</v>
      </c>
      <c r="F5">
        <v>2962.27</v>
      </c>
      <c r="G5">
        <v>0.6</v>
      </c>
      <c r="H5">
        <v>0</v>
      </c>
      <c r="I5" s="1">
        <v>45826</v>
      </c>
      <c r="J5" t="s">
        <v>27</v>
      </c>
      <c r="K5" t="s">
        <v>23</v>
      </c>
      <c r="L5">
        <v>2296.5</v>
      </c>
    </row>
    <row r="6" spans="1:12">
      <c r="A6">
        <v>1004</v>
      </c>
      <c r="B6" t="s">
        <v>28</v>
      </c>
      <c r="C6" t="s">
        <v>29</v>
      </c>
      <c r="D6" t="s">
        <v>30</v>
      </c>
      <c r="E6">
        <v>1</v>
      </c>
      <c r="F6">
        <v>2881.07</v>
      </c>
      <c r="G6">
        <v>0.27</v>
      </c>
      <c r="H6">
        <v>2103.1799999999998</v>
      </c>
      <c r="I6" s="1">
        <v>45826</v>
      </c>
      <c r="J6" t="s">
        <v>31</v>
      </c>
      <c r="K6" t="s">
        <v>16</v>
      </c>
      <c r="L6">
        <v>63.66</v>
      </c>
    </row>
    <row r="7" spans="1:12">
      <c r="A7">
        <v>1005</v>
      </c>
      <c r="B7" t="s">
        <v>32</v>
      </c>
      <c r="C7" t="s">
        <v>33</v>
      </c>
      <c r="D7" t="s">
        <v>34</v>
      </c>
      <c r="E7">
        <v>2</v>
      </c>
      <c r="F7">
        <v>2747.5450000000001</v>
      </c>
      <c r="G7">
        <v>0.6</v>
      </c>
      <c r="H7">
        <v>0</v>
      </c>
      <c r="I7" s="1">
        <v>45265</v>
      </c>
      <c r="J7" t="s">
        <v>22</v>
      </c>
      <c r="K7" t="s">
        <v>23</v>
      </c>
      <c r="L7">
        <v>1477.73</v>
      </c>
    </row>
    <row r="8" spans="1:12">
      <c r="A8">
        <v>1006</v>
      </c>
      <c r="B8" t="s">
        <v>35</v>
      </c>
      <c r="C8" t="s">
        <v>13</v>
      </c>
      <c r="D8" t="s">
        <v>36</v>
      </c>
      <c r="E8">
        <v>1</v>
      </c>
      <c r="F8">
        <v>2060.85</v>
      </c>
      <c r="G8">
        <v>0.6</v>
      </c>
      <c r="H8">
        <v>0</v>
      </c>
      <c r="I8" s="1">
        <v>45384</v>
      </c>
      <c r="J8" t="s">
        <v>18</v>
      </c>
      <c r="K8" t="s">
        <v>23</v>
      </c>
      <c r="L8">
        <v>198.36</v>
      </c>
    </row>
    <row r="9" spans="1:12">
      <c r="A9">
        <v>1007</v>
      </c>
      <c r="B9" t="s">
        <v>37</v>
      </c>
      <c r="C9" t="s">
        <v>38</v>
      </c>
      <c r="D9" t="s">
        <v>39</v>
      </c>
      <c r="E9">
        <v>2</v>
      </c>
      <c r="F9">
        <v>3669.56</v>
      </c>
      <c r="G9">
        <v>0.6</v>
      </c>
      <c r="H9">
        <v>0</v>
      </c>
      <c r="I9" s="1">
        <v>45826</v>
      </c>
      <c r="J9" t="s">
        <v>27</v>
      </c>
      <c r="K9" t="s">
        <v>16</v>
      </c>
      <c r="L9">
        <v>2490.0100000000002</v>
      </c>
    </row>
    <row r="10" spans="1:12">
      <c r="A10">
        <v>1008</v>
      </c>
      <c r="B10" t="s">
        <v>40</v>
      </c>
      <c r="C10" t="s">
        <v>29</v>
      </c>
      <c r="D10" t="s">
        <v>41</v>
      </c>
      <c r="E10">
        <v>2</v>
      </c>
      <c r="F10">
        <v>2747.5450000000001</v>
      </c>
      <c r="G10">
        <v>0.6</v>
      </c>
      <c r="H10">
        <v>0</v>
      </c>
      <c r="I10" s="1">
        <v>45826</v>
      </c>
      <c r="J10" t="s">
        <v>18</v>
      </c>
      <c r="K10" t="s">
        <v>16</v>
      </c>
      <c r="L10">
        <v>-886.8</v>
      </c>
    </row>
    <row r="11" spans="1:12">
      <c r="A11">
        <v>1009</v>
      </c>
      <c r="B11" t="s">
        <v>42</v>
      </c>
      <c r="C11" t="s">
        <v>33</v>
      </c>
      <c r="D11" t="s">
        <v>43</v>
      </c>
      <c r="E11">
        <v>5</v>
      </c>
      <c r="F11">
        <v>2747.5450000000001</v>
      </c>
      <c r="G11">
        <v>0.6</v>
      </c>
      <c r="H11">
        <v>0</v>
      </c>
      <c r="I11" s="1">
        <v>45858</v>
      </c>
      <c r="J11" t="s">
        <v>27</v>
      </c>
      <c r="K11" t="s">
        <v>23</v>
      </c>
      <c r="L11">
        <v>-972.73</v>
      </c>
    </row>
    <row r="12" spans="1:12">
      <c r="A12">
        <v>1010</v>
      </c>
      <c r="B12" t="s">
        <v>44</v>
      </c>
      <c r="C12" t="s">
        <v>33</v>
      </c>
      <c r="D12" t="s">
        <v>34</v>
      </c>
      <c r="E12">
        <v>0</v>
      </c>
      <c r="F12">
        <v>4007.02</v>
      </c>
      <c r="G12">
        <v>0.6</v>
      </c>
      <c r="H12">
        <v>0</v>
      </c>
      <c r="I12" s="1">
        <v>45826</v>
      </c>
      <c r="J12" t="s">
        <v>45</v>
      </c>
      <c r="K12" t="s">
        <v>23</v>
      </c>
      <c r="L12">
        <v>-950.38</v>
      </c>
    </row>
    <row r="13" spans="1:12">
      <c r="A13">
        <v>1011</v>
      </c>
      <c r="B13" t="s">
        <v>46</v>
      </c>
      <c r="C13" t="s">
        <v>29</v>
      </c>
      <c r="D13" t="s">
        <v>30</v>
      </c>
      <c r="E13">
        <v>0</v>
      </c>
      <c r="F13">
        <v>2747.5450000000001</v>
      </c>
      <c r="G13">
        <v>0.6</v>
      </c>
      <c r="H13">
        <v>0</v>
      </c>
      <c r="I13" s="1">
        <v>45804</v>
      </c>
      <c r="J13" t="s">
        <v>15</v>
      </c>
      <c r="K13" t="s">
        <v>16</v>
      </c>
      <c r="L13">
        <v>1370.67</v>
      </c>
    </row>
    <row r="14" spans="1:12">
      <c r="A14">
        <v>1012</v>
      </c>
      <c r="B14" t="s">
        <v>47</v>
      </c>
      <c r="C14" t="s">
        <v>13</v>
      </c>
      <c r="D14" t="s">
        <v>48</v>
      </c>
      <c r="E14">
        <v>4</v>
      </c>
      <c r="F14">
        <v>2747.5450000000001</v>
      </c>
      <c r="G14">
        <v>0.21</v>
      </c>
      <c r="H14">
        <v>0</v>
      </c>
      <c r="I14" s="1">
        <v>45526</v>
      </c>
      <c r="J14" t="s">
        <v>18</v>
      </c>
      <c r="K14" t="s">
        <v>16</v>
      </c>
      <c r="L14">
        <v>843.61</v>
      </c>
    </row>
    <row r="15" spans="1:12">
      <c r="A15">
        <v>1013</v>
      </c>
      <c r="B15" t="s">
        <v>49</v>
      </c>
      <c r="C15" t="s">
        <v>33</v>
      </c>
      <c r="D15" t="s">
        <v>34</v>
      </c>
      <c r="E15">
        <v>2</v>
      </c>
      <c r="F15">
        <v>2747.5450000000001</v>
      </c>
      <c r="G15">
        <v>0.62</v>
      </c>
      <c r="H15">
        <v>0</v>
      </c>
      <c r="I15" s="1">
        <v>45826</v>
      </c>
      <c r="J15" t="s">
        <v>45</v>
      </c>
      <c r="K15" t="s">
        <v>16</v>
      </c>
      <c r="L15">
        <v>1279.58</v>
      </c>
    </row>
    <row r="16" spans="1:12">
      <c r="A16">
        <v>1014</v>
      </c>
      <c r="B16" t="s">
        <v>50</v>
      </c>
      <c r="C16" t="s">
        <v>25</v>
      </c>
      <c r="D16" t="s">
        <v>26</v>
      </c>
      <c r="E16">
        <v>4</v>
      </c>
      <c r="F16">
        <v>2747.5450000000001</v>
      </c>
      <c r="G16">
        <v>0.6</v>
      </c>
      <c r="H16">
        <v>0</v>
      </c>
      <c r="I16" s="1">
        <v>45556</v>
      </c>
      <c r="J16" t="s">
        <v>31</v>
      </c>
      <c r="K16" t="s">
        <v>16</v>
      </c>
      <c r="L16">
        <v>-889.25</v>
      </c>
    </row>
    <row r="17" spans="1:12">
      <c r="A17">
        <v>1015</v>
      </c>
      <c r="B17" t="s">
        <v>51</v>
      </c>
      <c r="C17" t="s">
        <v>25</v>
      </c>
      <c r="D17" t="s">
        <v>52</v>
      </c>
      <c r="E17">
        <v>6</v>
      </c>
      <c r="F17">
        <v>2747.5450000000001</v>
      </c>
      <c r="G17">
        <v>0.6</v>
      </c>
      <c r="H17">
        <v>0</v>
      </c>
      <c r="I17" s="1">
        <v>45826</v>
      </c>
      <c r="J17" t="s">
        <v>18</v>
      </c>
      <c r="K17" t="s">
        <v>16</v>
      </c>
      <c r="L17">
        <v>793.8</v>
      </c>
    </row>
    <row r="18" spans="1:12">
      <c r="A18">
        <v>1016</v>
      </c>
      <c r="B18" t="s">
        <v>53</v>
      </c>
      <c r="C18" t="s">
        <v>33</v>
      </c>
      <c r="D18" t="s">
        <v>34</v>
      </c>
      <c r="E18">
        <v>2</v>
      </c>
      <c r="F18">
        <v>2747.5450000000001</v>
      </c>
      <c r="G18">
        <v>0.6</v>
      </c>
      <c r="H18">
        <v>0</v>
      </c>
      <c r="I18" s="1">
        <v>45591</v>
      </c>
      <c r="J18" t="s">
        <v>31</v>
      </c>
      <c r="K18" t="s">
        <v>23</v>
      </c>
      <c r="L18">
        <v>1881.89</v>
      </c>
    </row>
    <row r="19" spans="1:12">
      <c r="A19">
        <v>1017</v>
      </c>
      <c r="B19" t="s">
        <v>54</v>
      </c>
      <c r="C19" t="s">
        <v>33</v>
      </c>
      <c r="D19" t="s">
        <v>43</v>
      </c>
      <c r="E19">
        <v>3</v>
      </c>
      <c r="F19">
        <v>468.53</v>
      </c>
      <c r="G19">
        <v>0.6</v>
      </c>
      <c r="H19">
        <v>0</v>
      </c>
      <c r="I19" s="1">
        <v>45826</v>
      </c>
      <c r="J19" t="s">
        <v>22</v>
      </c>
      <c r="K19" t="s">
        <v>23</v>
      </c>
      <c r="L19">
        <v>-195.65</v>
      </c>
    </row>
    <row r="20" spans="1:12">
      <c r="A20">
        <v>1018</v>
      </c>
      <c r="B20" t="s">
        <v>55</v>
      </c>
      <c r="C20" t="s">
        <v>38</v>
      </c>
      <c r="D20" t="s">
        <v>56</v>
      </c>
      <c r="E20">
        <v>4</v>
      </c>
      <c r="F20">
        <v>2747.5450000000001</v>
      </c>
      <c r="G20">
        <v>0.6</v>
      </c>
      <c r="H20">
        <v>0</v>
      </c>
      <c r="I20" s="1">
        <v>45395</v>
      </c>
      <c r="J20" t="s">
        <v>27</v>
      </c>
      <c r="K20" t="s">
        <v>16</v>
      </c>
      <c r="L20">
        <v>2102.56</v>
      </c>
    </row>
    <row r="21" spans="1:12">
      <c r="A21">
        <v>1019</v>
      </c>
      <c r="B21" t="s">
        <v>57</v>
      </c>
      <c r="C21" t="s">
        <v>38</v>
      </c>
      <c r="D21" t="s">
        <v>39</v>
      </c>
      <c r="E21">
        <v>2</v>
      </c>
      <c r="F21">
        <v>4064.4</v>
      </c>
      <c r="G21">
        <v>0.7</v>
      </c>
      <c r="H21">
        <v>0</v>
      </c>
      <c r="I21" s="1">
        <v>45587</v>
      </c>
      <c r="J21" t="s">
        <v>18</v>
      </c>
      <c r="K21" t="s">
        <v>16</v>
      </c>
      <c r="L21">
        <v>877.21</v>
      </c>
    </row>
    <row r="22" spans="1:12">
      <c r="A22">
        <v>1020</v>
      </c>
      <c r="B22" t="s">
        <v>58</v>
      </c>
      <c r="C22" t="s">
        <v>13</v>
      </c>
      <c r="D22" t="s">
        <v>36</v>
      </c>
      <c r="E22">
        <v>1</v>
      </c>
      <c r="F22">
        <v>2747.5450000000001</v>
      </c>
      <c r="G22">
        <v>0.6</v>
      </c>
      <c r="H22">
        <v>0</v>
      </c>
      <c r="I22" s="1">
        <v>45735</v>
      </c>
      <c r="J22" t="s">
        <v>45</v>
      </c>
      <c r="K22" t="s">
        <v>23</v>
      </c>
      <c r="L22">
        <v>669.75</v>
      </c>
    </row>
    <row r="23" spans="1:12">
      <c r="A23">
        <v>1021</v>
      </c>
      <c r="B23" t="s">
        <v>59</v>
      </c>
      <c r="C23" t="s">
        <v>38</v>
      </c>
      <c r="D23" t="s">
        <v>60</v>
      </c>
      <c r="E23">
        <v>2</v>
      </c>
      <c r="F23">
        <v>2747.5450000000001</v>
      </c>
      <c r="G23">
        <v>0.6</v>
      </c>
      <c r="H23">
        <v>0</v>
      </c>
      <c r="I23" s="1">
        <v>45417</v>
      </c>
      <c r="J23" t="s">
        <v>27</v>
      </c>
      <c r="K23" t="s">
        <v>23</v>
      </c>
      <c r="L23">
        <v>-705.72</v>
      </c>
    </row>
    <row r="24" spans="1:12">
      <c r="A24">
        <v>1031</v>
      </c>
      <c r="B24" t="s">
        <v>61</v>
      </c>
      <c r="C24" t="s">
        <v>38</v>
      </c>
      <c r="D24" t="s">
        <v>60</v>
      </c>
      <c r="E24">
        <v>2</v>
      </c>
      <c r="F24">
        <v>1872.05</v>
      </c>
      <c r="G24">
        <v>0.15</v>
      </c>
      <c r="H24">
        <v>0</v>
      </c>
      <c r="I24" s="1">
        <v>45804</v>
      </c>
      <c r="J24" t="s">
        <v>45</v>
      </c>
      <c r="K24" t="s">
        <v>16</v>
      </c>
      <c r="L24">
        <v>-863.9</v>
      </c>
    </row>
    <row r="25" spans="1:12">
      <c r="A25">
        <v>1023</v>
      </c>
      <c r="B25" t="s">
        <v>62</v>
      </c>
      <c r="C25" t="s">
        <v>25</v>
      </c>
      <c r="D25" t="s">
        <v>63</v>
      </c>
      <c r="E25">
        <v>2</v>
      </c>
      <c r="F25">
        <v>2747.5450000000001</v>
      </c>
      <c r="G25">
        <v>0.6</v>
      </c>
      <c r="H25">
        <v>0</v>
      </c>
      <c r="I25" s="1">
        <v>45826</v>
      </c>
      <c r="J25" t="s">
        <v>22</v>
      </c>
      <c r="K25" t="s">
        <v>16</v>
      </c>
      <c r="L25">
        <v>-875.51</v>
      </c>
    </row>
    <row r="26" spans="1:12">
      <c r="A26">
        <v>1024</v>
      </c>
      <c r="B26" t="s">
        <v>64</v>
      </c>
      <c r="C26" t="s">
        <v>20</v>
      </c>
      <c r="D26" t="s">
        <v>21</v>
      </c>
      <c r="E26">
        <v>-2</v>
      </c>
      <c r="F26">
        <v>2747.5450000000001</v>
      </c>
      <c r="G26">
        <v>1.19</v>
      </c>
      <c r="H26">
        <v>0</v>
      </c>
      <c r="I26" s="1">
        <v>45707</v>
      </c>
      <c r="J26" t="s">
        <v>15</v>
      </c>
      <c r="K26" t="s">
        <v>23</v>
      </c>
      <c r="L26">
        <v>491.1</v>
      </c>
    </row>
    <row r="27" spans="1:12">
      <c r="A27">
        <v>1025</v>
      </c>
      <c r="B27" t="s">
        <v>65</v>
      </c>
      <c r="C27" t="s">
        <v>13</v>
      </c>
      <c r="D27" t="s">
        <v>48</v>
      </c>
      <c r="E27">
        <v>4</v>
      </c>
      <c r="F27">
        <v>4595.08</v>
      </c>
      <c r="G27">
        <v>0.6</v>
      </c>
      <c r="H27">
        <v>0</v>
      </c>
      <c r="I27" s="1">
        <v>45856</v>
      </c>
      <c r="J27" t="s">
        <v>27</v>
      </c>
      <c r="K27" t="s">
        <v>16</v>
      </c>
      <c r="L27">
        <v>330.82</v>
      </c>
    </row>
    <row r="28" spans="1:12">
      <c r="A28">
        <v>1026</v>
      </c>
      <c r="B28" t="s">
        <v>66</v>
      </c>
      <c r="C28" t="s">
        <v>29</v>
      </c>
      <c r="D28" t="s">
        <v>41</v>
      </c>
      <c r="E28">
        <v>2</v>
      </c>
      <c r="F28">
        <v>2747.5450000000001</v>
      </c>
      <c r="G28">
        <v>0.6</v>
      </c>
      <c r="H28">
        <v>0</v>
      </c>
      <c r="I28" s="1">
        <v>45647</v>
      </c>
      <c r="J28" t="s">
        <v>18</v>
      </c>
      <c r="K28" t="s">
        <v>23</v>
      </c>
      <c r="L28">
        <v>-194.77</v>
      </c>
    </row>
    <row r="29" spans="1:12">
      <c r="A29">
        <v>1027</v>
      </c>
      <c r="B29" t="s">
        <v>67</v>
      </c>
      <c r="C29" t="s">
        <v>29</v>
      </c>
      <c r="D29" t="s">
        <v>30</v>
      </c>
      <c r="E29">
        <v>1</v>
      </c>
      <c r="F29">
        <v>2747.5450000000001</v>
      </c>
      <c r="G29">
        <v>0.6</v>
      </c>
      <c r="H29">
        <v>0</v>
      </c>
      <c r="I29" s="1">
        <v>45826</v>
      </c>
      <c r="J29" t="s">
        <v>31</v>
      </c>
      <c r="K29" t="s">
        <v>23</v>
      </c>
      <c r="L29">
        <v>1085.3599999999999</v>
      </c>
    </row>
    <row r="30" spans="1:12">
      <c r="A30">
        <v>1028</v>
      </c>
      <c r="B30" t="s">
        <v>68</v>
      </c>
      <c r="C30" t="s">
        <v>33</v>
      </c>
      <c r="D30" t="s">
        <v>69</v>
      </c>
      <c r="E30">
        <v>-2</v>
      </c>
      <c r="F30">
        <v>2747.5450000000001</v>
      </c>
      <c r="G30">
        <v>0.6</v>
      </c>
      <c r="H30">
        <v>0</v>
      </c>
      <c r="I30" s="1">
        <v>45826</v>
      </c>
      <c r="J30" t="s">
        <v>31</v>
      </c>
      <c r="K30" t="s">
        <v>23</v>
      </c>
      <c r="L30">
        <v>2060.0300000000002</v>
      </c>
    </row>
    <row r="31" spans="1:12">
      <c r="A31">
        <v>1029</v>
      </c>
      <c r="B31" t="s">
        <v>70</v>
      </c>
      <c r="C31" t="s">
        <v>33</v>
      </c>
      <c r="D31" t="s">
        <v>69</v>
      </c>
      <c r="E31">
        <v>4</v>
      </c>
      <c r="F31">
        <v>2747.5450000000001</v>
      </c>
      <c r="G31">
        <v>0.6</v>
      </c>
      <c r="H31">
        <v>0</v>
      </c>
      <c r="I31" s="1">
        <v>45826</v>
      </c>
      <c r="J31" t="s">
        <v>22</v>
      </c>
      <c r="K31" t="s">
        <v>16</v>
      </c>
      <c r="L31">
        <v>1737.92</v>
      </c>
    </row>
    <row r="32" spans="1:12">
      <c r="A32">
        <v>1030</v>
      </c>
      <c r="B32" t="s">
        <v>71</v>
      </c>
      <c r="C32" t="s">
        <v>38</v>
      </c>
      <c r="D32" t="s">
        <v>56</v>
      </c>
      <c r="E32">
        <v>3</v>
      </c>
      <c r="F32">
        <v>1069.77</v>
      </c>
      <c r="G32">
        <v>0.6</v>
      </c>
      <c r="H32">
        <v>0</v>
      </c>
      <c r="I32" s="1">
        <v>45172</v>
      </c>
      <c r="J32" t="s">
        <v>31</v>
      </c>
      <c r="K32" t="s">
        <v>16</v>
      </c>
      <c r="L32">
        <v>1155.3800000000001</v>
      </c>
    </row>
    <row r="33" spans="1:12">
      <c r="A33">
        <v>1031</v>
      </c>
      <c r="B33" t="s">
        <v>72</v>
      </c>
      <c r="C33" t="s">
        <v>38</v>
      </c>
      <c r="D33" t="s">
        <v>60</v>
      </c>
      <c r="E33">
        <v>4</v>
      </c>
      <c r="F33">
        <v>2747.5450000000001</v>
      </c>
      <c r="G33">
        <v>0.6</v>
      </c>
      <c r="H33">
        <v>0</v>
      </c>
      <c r="I33" s="1">
        <v>45688</v>
      </c>
      <c r="J33" t="s">
        <v>27</v>
      </c>
      <c r="K33" t="s">
        <v>23</v>
      </c>
      <c r="L33">
        <v>-960.24</v>
      </c>
    </row>
    <row r="34" spans="1:12">
      <c r="A34">
        <v>1032</v>
      </c>
      <c r="B34" t="s">
        <v>73</v>
      </c>
      <c r="C34" t="s">
        <v>13</v>
      </c>
      <c r="D34" t="s">
        <v>36</v>
      </c>
      <c r="E34">
        <v>2</v>
      </c>
      <c r="F34">
        <v>2182.0100000000002</v>
      </c>
      <c r="G34">
        <v>0.6</v>
      </c>
      <c r="H34">
        <v>0</v>
      </c>
      <c r="I34" s="1">
        <v>45682</v>
      </c>
      <c r="J34" t="s">
        <v>15</v>
      </c>
      <c r="K34" t="s">
        <v>16</v>
      </c>
      <c r="L34">
        <v>1377.61</v>
      </c>
    </row>
    <row r="35" spans="1:12">
      <c r="A35">
        <v>1033</v>
      </c>
      <c r="B35" t="s">
        <v>74</v>
      </c>
      <c r="C35" t="s">
        <v>13</v>
      </c>
      <c r="D35" t="s">
        <v>48</v>
      </c>
      <c r="E35">
        <v>2</v>
      </c>
      <c r="F35">
        <v>2747.5450000000001</v>
      </c>
      <c r="G35">
        <v>0.6</v>
      </c>
      <c r="H35">
        <v>0</v>
      </c>
      <c r="I35" s="1">
        <v>45609</v>
      </c>
      <c r="J35" t="s">
        <v>31</v>
      </c>
      <c r="K35" t="s">
        <v>23</v>
      </c>
      <c r="L35">
        <v>903.69</v>
      </c>
    </row>
    <row r="36" spans="1:12">
      <c r="A36">
        <v>1034</v>
      </c>
      <c r="B36" t="s">
        <v>75</v>
      </c>
      <c r="C36" t="s">
        <v>20</v>
      </c>
      <c r="D36" t="s">
        <v>21</v>
      </c>
      <c r="E36">
        <v>0</v>
      </c>
      <c r="F36">
        <v>4449.3599999999997</v>
      </c>
      <c r="G36">
        <v>0.94</v>
      </c>
      <c r="H36">
        <v>0</v>
      </c>
      <c r="I36" s="1">
        <v>45851</v>
      </c>
      <c r="J36" t="s">
        <v>15</v>
      </c>
      <c r="K36" t="s">
        <v>23</v>
      </c>
      <c r="L36">
        <v>-282.68</v>
      </c>
    </row>
    <row r="37" spans="1:12">
      <c r="A37">
        <v>1035</v>
      </c>
      <c r="B37" t="s">
        <v>76</v>
      </c>
      <c r="C37" t="s">
        <v>20</v>
      </c>
      <c r="D37" t="s">
        <v>77</v>
      </c>
      <c r="E37">
        <v>-1</v>
      </c>
      <c r="F37">
        <v>2747.5450000000001</v>
      </c>
      <c r="G37">
        <v>0.94</v>
      </c>
      <c r="H37">
        <v>0</v>
      </c>
      <c r="I37" s="1">
        <v>45826</v>
      </c>
      <c r="J37" t="s">
        <v>18</v>
      </c>
      <c r="K37" t="s">
        <v>16</v>
      </c>
      <c r="L37">
        <v>-199.18</v>
      </c>
    </row>
    <row r="38" spans="1:12">
      <c r="A38">
        <v>1036</v>
      </c>
      <c r="B38" t="s">
        <v>78</v>
      </c>
      <c r="C38" t="s">
        <v>33</v>
      </c>
      <c r="D38" t="s">
        <v>79</v>
      </c>
      <c r="E38">
        <v>-2</v>
      </c>
      <c r="F38">
        <v>2721.83</v>
      </c>
      <c r="G38">
        <v>0.6</v>
      </c>
      <c r="H38">
        <v>0</v>
      </c>
      <c r="I38" s="1">
        <v>45388</v>
      </c>
      <c r="J38" t="s">
        <v>18</v>
      </c>
      <c r="K38" t="s">
        <v>23</v>
      </c>
      <c r="L38">
        <v>1213.95</v>
      </c>
    </row>
    <row r="39" spans="1:12">
      <c r="A39">
        <v>1037</v>
      </c>
      <c r="B39" t="s">
        <v>80</v>
      </c>
      <c r="C39" t="s">
        <v>29</v>
      </c>
      <c r="D39" t="s">
        <v>41</v>
      </c>
      <c r="E39">
        <v>2</v>
      </c>
      <c r="F39">
        <v>2747.5450000000001</v>
      </c>
      <c r="G39">
        <v>1.1000000000000001</v>
      </c>
      <c r="H39">
        <v>0</v>
      </c>
      <c r="I39" s="1">
        <v>45826</v>
      </c>
      <c r="J39" t="s">
        <v>18</v>
      </c>
      <c r="K39" t="s">
        <v>23</v>
      </c>
      <c r="L39">
        <v>907.77</v>
      </c>
    </row>
    <row r="40" spans="1:12">
      <c r="A40">
        <v>1038</v>
      </c>
      <c r="B40" t="s">
        <v>81</v>
      </c>
      <c r="C40" t="s">
        <v>33</v>
      </c>
      <c r="D40" t="s">
        <v>34</v>
      </c>
      <c r="E40">
        <v>3</v>
      </c>
      <c r="F40">
        <v>1692.38</v>
      </c>
      <c r="G40">
        <v>0.6</v>
      </c>
      <c r="H40">
        <v>0</v>
      </c>
      <c r="I40" s="1">
        <v>45311</v>
      </c>
      <c r="J40" t="s">
        <v>27</v>
      </c>
      <c r="K40" t="s">
        <v>16</v>
      </c>
      <c r="L40">
        <v>1704.49</v>
      </c>
    </row>
    <row r="41" spans="1:12">
      <c r="A41">
        <v>1039</v>
      </c>
      <c r="B41" t="s">
        <v>82</v>
      </c>
      <c r="C41" t="s">
        <v>25</v>
      </c>
      <c r="D41" t="s">
        <v>83</v>
      </c>
      <c r="E41">
        <v>2</v>
      </c>
      <c r="F41">
        <v>1372.16</v>
      </c>
      <c r="G41">
        <v>0.56000000000000005</v>
      </c>
      <c r="H41">
        <v>0</v>
      </c>
      <c r="I41" s="1">
        <v>45797</v>
      </c>
      <c r="J41" t="s">
        <v>31</v>
      </c>
      <c r="K41" t="s">
        <v>16</v>
      </c>
      <c r="L41">
        <v>1626.51</v>
      </c>
    </row>
    <row r="42" spans="1:12">
      <c r="A42">
        <v>1040</v>
      </c>
      <c r="B42" t="s">
        <v>84</v>
      </c>
      <c r="C42" t="s">
        <v>20</v>
      </c>
      <c r="D42" t="s">
        <v>85</v>
      </c>
      <c r="E42">
        <v>2</v>
      </c>
      <c r="F42">
        <v>2747.5450000000001</v>
      </c>
      <c r="G42">
        <v>0.6</v>
      </c>
      <c r="H42">
        <v>0</v>
      </c>
      <c r="I42" s="1">
        <v>45611</v>
      </c>
      <c r="J42" t="s">
        <v>18</v>
      </c>
      <c r="K42" t="s">
        <v>16</v>
      </c>
      <c r="L42">
        <v>693.6</v>
      </c>
    </row>
    <row r="43" spans="1:12">
      <c r="A43">
        <v>1041</v>
      </c>
      <c r="B43" t="s">
        <v>86</v>
      </c>
      <c r="C43" t="s">
        <v>20</v>
      </c>
      <c r="D43" t="s">
        <v>21</v>
      </c>
      <c r="E43">
        <v>2</v>
      </c>
      <c r="F43">
        <v>2747.5450000000001</v>
      </c>
      <c r="G43">
        <v>0.6</v>
      </c>
      <c r="H43">
        <v>0</v>
      </c>
      <c r="I43" s="1">
        <v>45723</v>
      </c>
      <c r="J43" t="s">
        <v>18</v>
      </c>
      <c r="K43" t="s">
        <v>16</v>
      </c>
      <c r="L43">
        <v>-983.06</v>
      </c>
    </row>
    <row r="44" spans="1:12">
      <c r="A44">
        <v>1042</v>
      </c>
      <c r="B44" t="s">
        <v>87</v>
      </c>
      <c r="C44" t="s">
        <v>38</v>
      </c>
      <c r="D44" t="s">
        <v>88</v>
      </c>
      <c r="E44">
        <v>2</v>
      </c>
      <c r="F44">
        <v>2747.5450000000001</v>
      </c>
      <c r="G44">
        <v>0.6</v>
      </c>
      <c r="H44">
        <v>0</v>
      </c>
      <c r="I44" s="1">
        <v>45759</v>
      </c>
      <c r="J44" t="s">
        <v>45</v>
      </c>
      <c r="K44" t="s">
        <v>16</v>
      </c>
      <c r="L44">
        <v>283.39</v>
      </c>
    </row>
    <row r="45" spans="1:12">
      <c r="A45">
        <v>1043</v>
      </c>
      <c r="B45" t="s">
        <v>89</v>
      </c>
      <c r="C45" t="s">
        <v>33</v>
      </c>
      <c r="D45" t="s">
        <v>79</v>
      </c>
      <c r="E45">
        <v>2</v>
      </c>
      <c r="F45">
        <v>4575.93</v>
      </c>
      <c r="G45">
        <v>0.56000000000000005</v>
      </c>
      <c r="H45">
        <v>0</v>
      </c>
      <c r="I45" s="1">
        <v>45752</v>
      </c>
      <c r="J45" t="s">
        <v>18</v>
      </c>
      <c r="K45" t="s">
        <v>16</v>
      </c>
      <c r="L45">
        <v>442.14</v>
      </c>
    </row>
    <row r="46" spans="1:12">
      <c r="A46">
        <v>1044</v>
      </c>
      <c r="B46" t="s">
        <v>90</v>
      </c>
      <c r="C46" t="s">
        <v>33</v>
      </c>
      <c r="D46" t="s">
        <v>69</v>
      </c>
      <c r="E46">
        <v>2</v>
      </c>
      <c r="F46">
        <v>2747.5450000000001</v>
      </c>
      <c r="G46">
        <v>0.6</v>
      </c>
      <c r="H46">
        <v>0</v>
      </c>
      <c r="I46" s="1">
        <v>45547</v>
      </c>
      <c r="J46" t="s">
        <v>27</v>
      </c>
      <c r="K46" t="s">
        <v>23</v>
      </c>
      <c r="L46">
        <v>-80.23</v>
      </c>
    </row>
    <row r="47" spans="1:12">
      <c r="A47">
        <v>1045</v>
      </c>
      <c r="B47" t="s">
        <v>91</v>
      </c>
      <c r="C47" t="s">
        <v>29</v>
      </c>
      <c r="D47" t="s">
        <v>41</v>
      </c>
      <c r="E47">
        <v>2</v>
      </c>
      <c r="F47">
        <v>3477.16</v>
      </c>
      <c r="G47">
        <v>0.6</v>
      </c>
      <c r="H47">
        <v>0</v>
      </c>
      <c r="I47" s="1">
        <v>45698</v>
      </c>
      <c r="J47" t="s">
        <v>31</v>
      </c>
      <c r="K47" t="s">
        <v>23</v>
      </c>
      <c r="L47">
        <v>1323.75</v>
      </c>
    </row>
    <row r="48" spans="1:12">
      <c r="A48">
        <v>1046</v>
      </c>
      <c r="B48" t="s">
        <v>92</v>
      </c>
      <c r="C48" t="s">
        <v>13</v>
      </c>
      <c r="D48" t="s">
        <v>14</v>
      </c>
      <c r="E48">
        <v>-1</v>
      </c>
      <c r="F48">
        <v>2441.92</v>
      </c>
      <c r="G48">
        <v>0.92</v>
      </c>
      <c r="H48">
        <v>-195.35</v>
      </c>
      <c r="I48" s="1">
        <v>45826</v>
      </c>
      <c r="J48" t="s">
        <v>15</v>
      </c>
      <c r="K48" t="s">
        <v>16</v>
      </c>
      <c r="L48">
        <v>1004.91</v>
      </c>
    </row>
    <row r="49" spans="1:12">
      <c r="A49">
        <v>1047</v>
      </c>
      <c r="B49" t="s">
        <v>93</v>
      </c>
      <c r="C49" t="s">
        <v>13</v>
      </c>
      <c r="D49" t="s">
        <v>48</v>
      </c>
      <c r="E49">
        <v>3</v>
      </c>
      <c r="F49">
        <v>2747.5450000000001</v>
      </c>
      <c r="G49">
        <v>0.6</v>
      </c>
      <c r="H49">
        <v>0</v>
      </c>
      <c r="I49" s="1">
        <v>45820</v>
      </c>
      <c r="J49" t="s">
        <v>31</v>
      </c>
      <c r="K49" t="s">
        <v>16</v>
      </c>
      <c r="L49">
        <v>-395.76</v>
      </c>
    </row>
    <row r="50" spans="1:12">
      <c r="A50">
        <v>1048</v>
      </c>
      <c r="B50" t="s">
        <v>94</v>
      </c>
      <c r="C50" t="s">
        <v>13</v>
      </c>
      <c r="D50" t="s">
        <v>48</v>
      </c>
      <c r="E50">
        <v>5</v>
      </c>
      <c r="F50">
        <v>2747.5450000000001</v>
      </c>
      <c r="G50">
        <v>0.41</v>
      </c>
      <c r="H50">
        <v>0</v>
      </c>
      <c r="I50" s="1">
        <v>45581</v>
      </c>
      <c r="J50" t="s">
        <v>15</v>
      </c>
      <c r="K50" t="s">
        <v>16</v>
      </c>
      <c r="L50">
        <v>2409.2600000000002</v>
      </c>
    </row>
    <row r="51" spans="1:12">
      <c r="A51">
        <v>1049</v>
      </c>
      <c r="B51" t="s">
        <v>95</v>
      </c>
      <c r="C51" t="s">
        <v>33</v>
      </c>
      <c r="D51" t="s">
        <v>79</v>
      </c>
      <c r="E51">
        <v>2</v>
      </c>
      <c r="F51">
        <v>2747.5450000000001</v>
      </c>
      <c r="G51">
        <v>0.6</v>
      </c>
      <c r="H51">
        <v>0</v>
      </c>
      <c r="I51" s="1">
        <v>45826</v>
      </c>
      <c r="J51" t="s">
        <v>22</v>
      </c>
      <c r="K51" t="s">
        <v>16</v>
      </c>
      <c r="L51">
        <v>19.87</v>
      </c>
    </row>
    <row r="52" spans="1:12">
      <c r="A52">
        <v>1050</v>
      </c>
      <c r="B52" t="s">
        <v>96</v>
      </c>
      <c r="C52" t="s">
        <v>13</v>
      </c>
      <c r="D52" t="s">
        <v>14</v>
      </c>
      <c r="E52">
        <v>-1</v>
      </c>
      <c r="F52">
        <v>1083.1600000000001</v>
      </c>
      <c r="G52">
        <v>0.6</v>
      </c>
      <c r="H52">
        <v>0</v>
      </c>
      <c r="I52" s="1">
        <v>45846</v>
      </c>
      <c r="J52" t="s">
        <v>45</v>
      </c>
      <c r="K52" t="s">
        <v>16</v>
      </c>
      <c r="L52">
        <v>2904.29</v>
      </c>
    </row>
    <row r="53" spans="1:12">
      <c r="A53">
        <v>1051</v>
      </c>
      <c r="B53" t="s">
        <v>97</v>
      </c>
      <c r="C53" t="s">
        <v>13</v>
      </c>
      <c r="D53" t="s">
        <v>36</v>
      </c>
      <c r="E53">
        <v>2</v>
      </c>
      <c r="F53">
        <v>2747.5450000000001</v>
      </c>
      <c r="G53">
        <v>0.56999999999999995</v>
      </c>
      <c r="H53">
        <v>0</v>
      </c>
      <c r="I53" s="1">
        <v>45773</v>
      </c>
      <c r="J53" t="s">
        <v>15</v>
      </c>
      <c r="K53" t="s">
        <v>16</v>
      </c>
      <c r="L53">
        <v>2857.9</v>
      </c>
    </row>
    <row r="54" spans="1:12">
      <c r="A54">
        <v>1052</v>
      </c>
      <c r="B54" t="s">
        <v>98</v>
      </c>
      <c r="C54" t="s">
        <v>13</v>
      </c>
      <c r="D54" t="s">
        <v>99</v>
      </c>
      <c r="E54">
        <v>2</v>
      </c>
      <c r="F54">
        <v>3252.49</v>
      </c>
      <c r="G54">
        <v>0.56000000000000005</v>
      </c>
      <c r="H54">
        <v>0</v>
      </c>
      <c r="I54" s="1">
        <v>45268</v>
      </c>
      <c r="J54" t="s">
        <v>27</v>
      </c>
      <c r="K54" t="s">
        <v>16</v>
      </c>
      <c r="L54">
        <v>-11.15</v>
      </c>
    </row>
    <row r="55" spans="1:12">
      <c r="A55">
        <v>1053</v>
      </c>
      <c r="B55" t="s">
        <v>100</v>
      </c>
      <c r="C55" t="s">
        <v>38</v>
      </c>
      <c r="D55" t="s">
        <v>56</v>
      </c>
      <c r="E55">
        <v>2</v>
      </c>
      <c r="F55">
        <v>714.23</v>
      </c>
      <c r="G55">
        <v>1.29</v>
      </c>
      <c r="H55">
        <v>0</v>
      </c>
      <c r="I55" s="1">
        <v>45859</v>
      </c>
      <c r="J55" t="s">
        <v>15</v>
      </c>
      <c r="K55" t="s">
        <v>16</v>
      </c>
      <c r="L55">
        <v>1057.24</v>
      </c>
    </row>
    <row r="56" spans="1:12">
      <c r="A56">
        <v>1054</v>
      </c>
      <c r="B56" t="s">
        <v>101</v>
      </c>
      <c r="C56" t="s">
        <v>33</v>
      </c>
      <c r="D56" t="s">
        <v>69</v>
      </c>
      <c r="E56">
        <v>2</v>
      </c>
      <c r="F56">
        <v>2747.5450000000001</v>
      </c>
      <c r="G56">
        <v>0.6</v>
      </c>
      <c r="H56">
        <v>0</v>
      </c>
      <c r="I56" s="1">
        <v>45700</v>
      </c>
      <c r="J56" t="s">
        <v>45</v>
      </c>
      <c r="K56" t="s">
        <v>16</v>
      </c>
      <c r="L56">
        <v>1002.96</v>
      </c>
    </row>
    <row r="57" spans="1:12">
      <c r="A57">
        <v>1055</v>
      </c>
      <c r="B57" t="s">
        <v>102</v>
      </c>
      <c r="C57" t="s">
        <v>13</v>
      </c>
      <c r="D57" t="s">
        <v>36</v>
      </c>
      <c r="E57">
        <v>0</v>
      </c>
      <c r="F57">
        <v>2747.5450000000001</v>
      </c>
      <c r="G57">
        <v>0.6</v>
      </c>
      <c r="H57">
        <v>0</v>
      </c>
      <c r="I57" s="1">
        <v>45353</v>
      </c>
      <c r="J57" t="s">
        <v>45</v>
      </c>
      <c r="K57" t="s">
        <v>23</v>
      </c>
      <c r="L57">
        <v>1374.9</v>
      </c>
    </row>
    <row r="58" spans="1:12">
      <c r="A58">
        <v>1056</v>
      </c>
      <c r="B58" t="s">
        <v>103</v>
      </c>
      <c r="C58" t="s">
        <v>29</v>
      </c>
      <c r="D58" t="s">
        <v>41</v>
      </c>
      <c r="E58">
        <v>6</v>
      </c>
      <c r="F58">
        <v>2747.5450000000001</v>
      </c>
      <c r="G58">
        <v>0.6</v>
      </c>
      <c r="H58">
        <v>0</v>
      </c>
      <c r="I58" s="1">
        <v>45849</v>
      </c>
      <c r="J58" t="s">
        <v>22</v>
      </c>
      <c r="K58" t="s">
        <v>16</v>
      </c>
      <c r="L58">
        <v>-343.36</v>
      </c>
    </row>
    <row r="59" spans="1:12">
      <c r="A59">
        <v>1057</v>
      </c>
      <c r="B59" t="s">
        <v>104</v>
      </c>
      <c r="C59" t="s">
        <v>20</v>
      </c>
      <c r="D59" t="s">
        <v>21</v>
      </c>
      <c r="E59">
        <v>4</v>
      </c>
      <c r="F59">
        <v>2747.5450000000001</v>
      </c>
      <c r="G59">
        <v>0.04</v>
      </c>
      <c r="H59">
        <v>0</v>
      </c>
      <c r="I59" s="1">
        <v>45649</v>
      </c>
      <c r="J59" t="s">
        <v>45</v>
      </c>
      <c r="K59" t="s">
        <v>16</v>
      </c>
      <c r="L59">
        <v>1725.76</v>
      </c>
    </row>
    <row r="60" spans="1:12">
      <c r="A60">
        <v>1058</v>
      </c>
      <c r="B60" t="s">
        <v>105</v>
      </c>
      <c r="C60" t="s">
        <v>33</v>
      </c>
      <c r="D60" t="s">
        <v>43</v>
      </c>
      <c r="E60">
        <v>2</v>
      </c>
      <c r="F60">
        <v>3982.53</v>
      </c>
      <c r="G60">
        <v>1.08</v>
      </c>
      <c r="H60">
        <v>0</v>
      </c>
      <c r="I60" s="1">
        <v>45518</v>
      </c>
      <c r="J60" t="s">
        <v>45</v>
      </c>
      <c r="K60" t="s">
        <v>16</v>
      </c>
      <c r="L60">
        <v>1912.49</v>
      </c>
    </row>
    <row r="61" spans="1:12">
      <c r="A61">
        <v>1059</v>
      </c>
      <c r="B61" t="s">
        <v>106</v>
      </c>
      <c r="C61" t="s">
        <v>13</v>
      </c>
      <c r="D61" t="s">
        <v>36</v>
      </c>
      <c r="E61">
        <v>0</v>
      </c>
      <c r="F61">
        <v>2927.57</v>
      </c>
      <c r="G61">
        <v>0.19</v>
      </c>
      <c r="H61">
        <v>0</v>
      </c>
      <c r="I61" s="1">
        <v>45826</v>
      </c>
      <c r="J61" t="s">
        <v>15</v>
      </c>
      <c r="K61" t="s">
        <v>16</v>
      </c>
      <c r="L61">
        <v>2218.42</v>
      </c>
    </row>
    <row r="62" spans="1:12">
      <c r="A62">
        <v>1060</v>
      </c>
      <c r="B62" t="s">
        <v>107</v>
      </c>
      <c r="C62" t="s">
        <v>13</v>
      </c>
      <c r="D62" t="s">
        <v>99</v>
      </c>
      <c r="E62">
        <v>2</v>
      </c>
      <c r="F62">
        <v>2813.51</v>
      </c>
      <c r="G62">
        <v>0.6</v>
      </c>
      <c r="H62">
        <v>0</v>
      </c>
      <c r="I62" s="1">
        <v>45852</v>
      </c>
      <c r="J62" t="s">
        <v>45</v>
      </c>
      <c r="K62" t="s">
        <v>16</v>
      </c>
      <c r="L62">
        <v>94.96</v>
      </c>
    </row>
    <row r="63" spans="1:12">
      <c r="A63">
        <v>1061</v>
      </c>
      <c r="B63" t="s">
        <v>108</v>
      </c>
      <c r="C63" t="s">
        <v>29</v>
      </c>
      <c r="D63" t="s">
        <v>30</v>
      </c>
      <c r="E63">
        <v>2</v>
      </c>
      <c r="F63">
        <v>2291.15</v>
      </c>
      <c r="G63">
        <v>0.33</v>
      </c>
      <c r="H63">
        <v>0</v>
      </c>
      <c r="I63" s="1">
        <v>45601</v>
      </c>
      <c r="J63" t="s">
        <v>22</v>
      </c>
      <c r="K63" t="s">
        <v>23</v>
      </c>
      <c r="L63">
        <v>2536.3000000000002</v>
      </c>
    </row>
    <row r="64" spans="1:12">
      <c r="A64">
        <v>1062</v>
      </c>
      <c r="B64" t="s">
        <v>109</v>
      </c>
      <c r="C64" t="s">
        <v>13</v>
      </c>
      <c r="D64" t="s">
        <v>99</v>
      </c>
      <c r="E64">
        <v>-1</v>
      </c>
      <c r="F64">
        <v>2747.5450000000001</v>
      </c>
      <c r="G64">
        <v>0.6</v>
      </c>
      <c r="H64">
        <v>0</v>
      </c>
      <c r="I64" s="1">
        <v>45826</v>
      </c>
      <c r="J64" t="s">
        <v>45</v>
      </c>
      <c r="K64" t="s">
        <v>16</v>
      </c>
      <c r="L64">
        <v>328.72</v>
      </c>
    </row>
    <row r="65" spans="1:12">
      <c r="A65">
        <v>1063</v>
      </c>
      <c r="B65" t="s">
        <v>110</v>
      </c>
      <c r="C65" t="s">
        <v>33</v>
      </c>
      <c r="D65" t="s">
        <v>79</v>
      </c>
      <c r="E65">
        <v>1</v>
      </c>
      <c r="F65">
        <v>2747.5450000000001</v>
      </c>
      <c r="G65">
        <v>0.6</v>
      </c>
      <c r="H65">
        <v>0</v>
      </c>
      <c r="I65" s="1">
        <v>45836</v>
      </c>
      <c r="J65" t="s">
        <v>27</v>
      </c>
      <c r="K65" t="s">
        <v>16</v>
      </c>
      <c r="L65">
        <v>2147.75</v>
      </c>
    </row>
    <row r="66" spans="1:12">
      <c r="A66">
        <v>1064</v>
      </c>
      <c r="B66" t="s">
        <v>111</v>
      </c>
      <c r="C66" t="s">
        <v>20</v>
      </c>
      <c r="D66" t="s">
        <v>85</v>
      </c>
      <c r="E66">
        <v>2</v>
      </c>
      <c r="F66">
        <v>2747.5450000000001</v>
      </c>
      <c r="G66">
        <v>1.3</v>
      </c>
      <c r="H66">
        <v>0</v>
      </c>
      <c r="I66" s="1">
        <v>45826</v>
      </c>
      <c r="J66" t="s">
        <v>27</v>
      </c>
      <c r="K66" t="s">
        <v>16</v>
      </c>
      <c r="L66">
        <v>-901.74</v>
      </c>
    </row>
    <row r="67" spans="1:12">
      <c r="A67">
        <v>1065</v>
      </c>
      <c r="B67" t="s">
        <v>112</v>
      </c>
      <c r="C67" t="s">
        <v>13</v>
      </c>
      <c r="D67" t="s">
        <v>36</v>
      </c>
      <c r="E67">
        <v>5</v>
      </c>
      <c r="F67">
        <v>2747.5450000000001</v>
      </c>
      <c r="G67">
        <v>0.6</v>
      </c>
      <c r="H67">
        <v>0</v>
      </c>
      <c r="I67" s="1">
        <v>45440</v>
      </c>
      <c r="J67" t="s">
        <v>27</v>
      </c>
      <c r="K67" t="s">
        <v>16</v>
      </c>
      <c r="L67">
        <v>2316.9699999999998</v>
      </c>
    </row>
    <row r="68" spans="1:12">
      <c r="A68">
        <v>1066</v>
      </c>
      <c r="B68" t="s">
        <v>113</v>
      </c>
      <c r="C68" t="s">
        <v>25</v>
      </c>
      <c r="D68" t="s">
        <v>63</v>
      </c>
      <c r="E68">
        <v>-2</v>
      </c>
      <c r="F68">
        <v>3479.44</v>
      </c>
      <c r="G68">
        <v>0.6</v>
      </c>
      <c r="H68">
        <v>0</v>
      </c>
      <c r="I68" s="1">
        <v>45672</v>
      </c>
      <c r="J68" t="s">
        <v>15</v>
      </c>
      <c r="K68" t="s">
        <v>16</v>
      </c>
      <c r="L68">
        <v>-252.78</v>
      </c>
    </row>
    <row r="69" spans="1:12">
      <c r="A69">
        <v>1067</v>
      </c>
      <c r="B69" t="s">
        <v>114</v>
      </c>
      <c r="C69" t="s">
        <v>38</v>
      </c>
      <c r="D69" t="s">
        <v>39</v>
      </c>
      <c r="E69">
        <v>2</v>
      </c>
      <c r="F69">
        <v>3945.25</v>
      </c>
      <c r="G69">
        <v>0.6</v>
      </c>
      <c r="H69">
        <v>0</v>
      </c>
      <c r="I69" s="1">
        <v>45838</v>
      </c>
      <c r="J69" t="s">
        <v>27</v>
      </c>
      <c r="K69" t="s">
        <v>23</v>
      </c>
      <c r="L69">
        <v>305.55</v>
      </c>
    </row>
    <row r="70" spans="1:12">
      <c r="A70">
        <v>1068</v>
      </c>
      <c r="B70" t="s">
        <v>115</v>
      </c>
      <c r="C70" t="s">
        <v>38</v>
      </c>
      <c r="D70" t="s">
        <v>60</v>
      </c>
      <c r="E70">
        <v>4</v>
      </c>
      <c r="F70">
        <v>2765.26</v>
      </c>
      <c r="G70">
        <v>0.6</v>
      </c>
      <c r="H70">
        <v>0</v>
      </c>
      <c r="I70" s="1">
        <v>45826</v>
      </c>
      <c r="J70" t="s">
        <v>18</v>
      </c>
      <c r="K70" t="s">
        <v>16</v>
      </c>
      <c r="L70">
        <v>1719.9</v>
      </c>
    </row>
    <row r="71" spans="1:12">
      <c r="A71">
        <v>1069</v>
      </c>
      <c r="B71" t="s">
        <v>116</v>
      </c>
      <c r="C71" t="s">
        <v>29</v>
      </c>
      <c r="D71" t="s">
        <v>117</v>
      </c>
      <c r="E71">
        <v>2</v>
      </c>
      <c r="F71">
        <v>2102.02</v>
      </c>
      <c r="G71">
        <v>1.1299999999999999</v>
      </c>
      <c r="H71">
        <v>-546.53</v>
      </c>
      <c r="I71" s="1">
        <v>45362</v>
      </c>
      <c r="J71" t="s">
        <v>15</v>
      </c>
      <c r="K71" t="s">
        <v>23</v>
      </c>
      <c r="L71">
        <v>-992.61</v>
      </c>
    </row>
    <row r="72" spans="1:12">
      <c r="A72">
        <v>1070</v>
      </c>
      <c r="B72" t="s">
        <v>118</v>
      </c>
      <c r="C72" t="s">
        <v>20</v>
      </c>
      <c r="D72" t="s">
        <v>119</v>
      </c>
      <c r="E72">
        <v>5</v>
      </c>
      <c r="F72">
        <v>2747.5450000000001</v>
      </c>
      <c r="G72">
        <v>0.6</v>
      </c>
      <c r="H72">
        <v>0</v>
      </c>
      <c r="I72" s="1">
        <v>45753</v>
      </c>
      <c r="J72" t="s">
        <v>31</v>
      </c>
      <c r="K72" t="s">
        <v>23</v>
      </c>
      <c r="L72">
        <v>1383.48</v>
      </c>
    </row>
    <row r="73" spans="1:12">
      <c r="A73">
        <v>1071</v>
      </c>
      <c r="B73" t="s">
        <v>120</v>
      </c>
      <c r="C73" t="s">
        <v>29</v>
      </c>
      <c r="D73" t="s">
        <v>41</v>
      </c>
      <c r="E73">
        <v>2</v>
      </c>
      <c r="F73">
        <v>1000.76</v>
      </c>
      <c r="G73">
        <v>0.6</v>
      </c>
      <c r="H73">
        <v>0</v>
      </c>
      <c r="I73" s="1">
        <v>45826</v>
      </c>
      <c r="J73" t="s">
        <v>15</v>
      </c>
      <c r="K73" t="s">
        <v>23</v>
      </c>
      <c r="L73">
        <v>2131.4299999999998</v>
      </c>
    </row>
    <row r="74" spans="1:12">
      <c r="A74">
        <v>1072</v>
      </c>
      <c r="B74" t="s">
        <v>121</v>
      </c>
      <c r="C74" t="s">
        <v>38</v>
      </c>
      <c r="D74" t="s">
        <v>56</v>
      </c>
      <c r="E74">
        <v>2</v>
      </c>
      <c r="F74">
        <v>2747.5450000000001</v>
      </c>
      <c r="G74">
        <v>0.6</v>
      </c>
      <c r="H74">
        <v>0</v>
      </c>
      <c r="I74" s="1">
        <v>45826</v>
      </c>
      <c r="J74" t="s">
        <v>27</v>
      </c>
      <c r="K74" t="s">
        <v>16</v>
      </c>
      <c r="L74">
        <v>2878.09</v>
      </c>
    </row>
    <row r="75" spans="1:12">
      <c r="A75">
        <v>1073</v>
      </c>
      <c r="B75" t="s">
        <v>122</v>
      </c>
      <c r="C75" t="s">
        <v>13</v>
      </c>
      <c r="D75" t="s">
        <v>48</v>
      </c>
      <c r="E75">
        <v>-2</v>
      </c>
      <c r="F75">
        <v>2747.5450000000001</v>
      </c>
      <c r="G75">
        <v>0.18</v>
      </c>
      <c r="H75">
        <v>0</v>
      </c>
      <c r="I75" s="1">
        <v>45826</v>
      </c>
      <c r="J75" t="s">
        <v>45</v>
      </c>
      <c r="K75" t="s">
        <v>16</v>
      </c>
      <c r="L75">
        <v>368.69</v>
      </c>
    </row>
    <row r="76" spans="1:12">
      <c r="A76">
        <v>1074</v>
      </c>
      <c r="B76" t="s">
        <v>123</v>
      </c>
      <c r="C76" t="s">
        <v>38</v>
      </c>
      <c r="D76" t="s">
        <v>39</v>
      </c>
      <c r="E76">
        <v>-2</v>
      </c>
      <c r="F76">
        <v>2747.5450000000001</v>
      </c>
      <c r="G76">
        <v>1.06</v>
      </c>
      <c r="H76">
        <v>0</v>
      </c>
      <c r="I76" s="1">
        <v>45682</v>
      </c>
      <c r="J76" t="s">
        <v>31</v>
      </c>
      <c r="K76" t="s">
        <v>16</v>
      </c>
      <c r="L76">
        <v>192.91</v>
      </c>
    </row>
    <row r="77" spans="1:12">
      <c r="A77">
        <v>1075</v>
      </c>
      <c r="B77" t="s">
        <v>124</v>
      </c>
      <c r="C77" t="s">
        <v>33</v>
      </c>
      <c r="D77" t="s">
        <v>34</v>
      </c>
      <c r="E77">
        <v>2</v>
      </c>
      <c r="F77">
        <v>795.85</v>
      </c>
      <c r="G77">
        <v>0.6</v>
      </c>
      <c r="H77">
        <v>0</v>
      </c>
      <c r="I77" s="1">
        <v>45826</v>
      </c>
      <c r="J77" t="s">
        <v>45</v>
      </c>
      <c r="K77" t="s">
        <v>23</v>
      </c>
      <c r="L77">
        <v>2418.8000000000002</v>
      </c>
    </row>
    <row r="78" spans="1:12">
      <c r="A78">
        <v>1076</v>
      </c>
      <c r="B78" t="s">
        <v>125</v>
      </c>
      <c r="C78" t="s">
        <v>33</v>
      </c>
      <c r="D78" t="s">
        <v>43</v>
      </c>
      <c r="E78">
        <v>2</v>
      </c>
      <c r="F78">
        <v>2747.5450000000001</v>
      </c>
      <c r="G78">
        <v>0.6</v>
      </c>
      <c r="H78">
        <v>0</v>
      </c>
      <c r="I78" s="1">
        <v>45664</v>
      </c>
      <c r="J78" t="s">
        <v>27</v>
      </c>
      <c r="K78" t="s">
        <v>16</v>
      </c>
      <c r="L78">
        <v>1408.61</v>
      </c>
    </row>
    <row r="79" spans="1:12">
      <c r="A79">
        <v>1077</v>
      </c>
      <c r="B79" t="s">
        <v>126</v>
      </c>
      <c r="C79" t="s">
        <v>33</v>
      </c>
      <c r="D79" t="s">
        <v>43</v>
      </c>
      <c r="E79">
        <v>2</v>
      </c>
      <c r="F79">
        <v>2747.5450000000001</v>
      </c>
      <c r="G79">
        <v>0.6</v>
      </c>
      <c r="H79">
        <v>0</v>
      </c>
      <c r="I79" s="1">
        <v>45555</v>
      </c>
      <c r="J79" t="s">
        <v>31</v>
      </c>
      <c r="K79" t="s">
        <v>23</v>
      </c>
      <c r="L79">
        <v>902.52</v>
      </c>
    </row>
    <row r="80" spans="1:12">
      <c r="A80">
        <v>1078</v>
      </c>
      <c r="B80" t="s">
        <v>127</v>
      </c>
      <c r="C80" t="s">
        <v>20</v>
      </c>
      <c r="D80" t="s">
        <v>119</v>
      </c>
      <c r="E80">
        <v>2</v>
      </c>
      <c r="F80">
        <v>4059.56</v>
      </c>
      <c r="G80">
        <v>0.6</v>
      </c>
      <c r="H80">
        <v>0</v>
      </c>
      <c r="I80" s="1">
        <v>45701</v>
      </c>
      <c r="J80" t="s">
        <v>45</v>
      </c>
      <c r="K80" t="s">
        <v>16</v>
      </c>
      <c r="L80">
        <v>-819.94</v>
      </c>
    </row>
    <row r="81" spans="1:12">
      <c r="A81">
        <v>1079</v>
      </c>
      <c r="B81" t="s">
        <v>128</v>
      </c>
      <c r="C81" t="s">
        <v>33</v>
      </c>
      <c r="D81" t="s">
        <v>69</v>
      </c>
      <c r="E81">
        <v>2</v>
      </c>
      <c r="F81">
        <v>2747.5450000000001</v>
      </c>
      <c r="G81">
        <v>0.6</v>
      </c>
      <c r="H81">
        <v>0</v>
      </c>
      <c r="I81" s="1">
        <v>45826</v>
      </c>
      <c r="J81" t="s">
        <v>31</v>
      </c>
      <c r="K81" t="s">
        <v>23</v>
      </c>
      <c r="L81">
        <v>-22.55</v>
      </c>
    </row>
    <row r="82" spans="1:12">
      <c r="A82">
        <v>1080</v>
      </c>
      <c r="B82" t="s">
        <v>129</v>
      </c>
      <c r="C82" t="s">
        <v>33</v>
      </c>
      <c r="D82" t="s">
        <v>34</v>
      </c>
      <c r="E82">
        <v>2</v>
      </c>
      <c r="F82">
        <v>3872.22</v>
      </c>
      <c r="G82">
        <v>1.1499999999999999</v>
      </c>
      <c r="H82">
        <v>0</v>
      </c>
      <c r="I82" s="1">
        <v>45826</v>
      </c>
      <c r="J82" t="s">
        <v>22</v>
      </c>
      <c r="K82" t="s">
        <v>16</v>
      </c>
      <c r="L82">
        <v>-302.97000000000003</v>
      </c>
    </row>
    <row r="83" spans="1:12">
      <c r="A83">
        <v>1081</v>
      </c>
      <c r="B83" t="s">
        <v>130</v>
      </c>
      <c r="C83" t="s">
        <v>13</v>
      </c>
      <c r="D83" t="s">
        <v>36</v>
      </c>
      <c r="E83">
        <v>6</v>
      </c>
      <c r="F83">
        <v>4798.0600000000004</v>
      </c>
      <c r="G83">
        <v>0.81</v>
      </c>
      <c r="H83">
        <v>5469.79</v>
      </c>
      <c r="I83" s="1">
        <v>45826</v>
      </c>
      <c r="J83" t="s">
        <v>31</v>
      </c>
      <c r="K83" t="s">
        <v>23</v>
      </c>
      <c r="L83">
        <v>-361.78</v>
      </c>
    </row>
    <row r="84" spans="1:12">
      <c r="A84">
        <v>1082</v>
      </c>
      <c r="B84" t="s">
        <v>131</v>
      </c>
      <c r="C84" t="s">
        <v>38</v>
      </c>
      <c r="D84" t="s">
        <v>88</v>
      </c>
      <c r="E84">
        <v>0</v>
      </c>
      <c r="F84">
        <v>2747.5450000000001</v>
      </c>
      <c r="G84">
        <v>0.6</v>
      </c>
      <c r="H84">
        <v>0</v>
      </c>
      <c r="I84" s="1">
        <v>45826</v>
      </c>
      <c r="J84" t="s">
        <v>27</v>
      </c>
      <c r="K84" t="s">
        <v>23</v>
      </c>
      <c r="L84">
        <v>712.91</v>
      </c>
    </row>
    <row r="85" spans="1:12">
      <c r="A85">
        <v>1083</v>
      </c>
      <c r="B85" t="s">
        <v>132</v>
      </c>
      <c r="C85" t="s">
        <v>20</v>
      </c>
      <c r="D85" t="s">
        <v>77</v>
      </c>
      <c r="E85">
        <v>1</v>
      </c>
      <c r="F85">
        <v>2747.5450000000001</v>
      </c>
      <c r="G85">
        <v>1.28</v>
      </c>
      <c r="H85">
        <v>0</v>
      </c>
      <c r="I85" s="1">
        <v>45826</v>
      </c>
      <c r="J85" t="s">
        <v>45</v>
      </c>
      <c r="K85" t="s">
        <v>23</v>
      </c>
      <c r="L85">
        <v>-612.62</v>
      </c>
    </row>
    <row r="86" spans="1:12">
      <c r="A86">
        <v>1084</v>
      </c>
      <c r="B86" t="s">
        <v>133</v>
      </c>
      <c r="C86" t="s">
        <v>25</v>
      </c>
      <c r="D86" t="s">
        <v>26</v>
      </c>
      <c r="E86">
        <v>2</v>
      </c>
      <c r="F86">
        <v>2747.5450000000001</v>
      </c>
      <c r="G86">
        <v>0.53</v>
      </c>
      <c r="H86">
        <v>0</v>
      </c>
      <c r="I86" s="1">
        <v>45650</v>
      </c>
      <c r="J86" t="s">
        <v>45</v>
      </c>
      <c r="K86" t="s">
        <v>23</v>
      </c>
      <c r="L86">
        <v>2458.0700000000002</v>
      </c>
    </row>
    <row r="87" spans="1:12">
      <c r="A87">
        <v>1085</v>
      </c>
      <c r="B87" t="s">
        <v>134</v>
      </c>
      <c r="C87" t="s">
        <v>25</v>
      </c>
      <c r="D87" t="s">
        <v>63</v>
      </c>
      <c r="E87">
        <v>2</v>
      </c>
      <c r="F87">
        <v>2747.5450000000001</v>
      </c>
      <c r="G87">
        <v>0.02</v>
      </c>
      <c r="H87">
        <v>0</v>
      </c>
      <c r="I87" s="1">
        <v>45217</v>
      </c>
      <c r="J87" t="s">
        <v>45</v>
      </c>
      <c r="K87" t="s">
        <v>23</v>
      </c>
      <c r="L87">
        <v>264.73</v>
      </c>
    </row>
    <row r="88" spans="1:12">
      <c r="A88">
        <v>1086</v>
      </c>
      <c r="B88" t="s">
        <v>135</v>
      </c>
      <c r="C88" t="s">
        <v>29</v>
      </c>
      <c r="D88" t="s">
        <v>41</v>
      </c>
      <c r="E88">
        <v>2</v>
      </c>
      <c r="F88">
        <v>948.33</v>
      </c>
      <c r="G88">
        <v>0.46</v>
      </c>
      <c r="H88">
        <v>0</v>
      </c>
      <c r="I88" s="1">
        <v>45732</v>
      </c>
      <c r="J88" t="s">
        <v>27</v>
      </c>
      <c r="K88" t="s">
        <v>16</v>
      </c>
      <c r="L88">
        <v>-865.22</v>
      </c>
    </row>
    <row r="89" spans="1:12">
      <c r="A89">
        <v>1087</v>
      </c>
      <c r="B89" t="s">
        <v>136</v>
      </c>
      <c r="C89" t="s">
        <v>13</v>
      </c>
      <c r="D89" t="s">
        <v>99</v>
      </c>
      <c r="E89">
        <v>2</v>
      </c>
      <c r="F89">
        <v>1976.75</v>
      </c>
      <c r="G89">
        <v>0.81</v>
      </c>
      <c r="H89">
        <v>0</v>
      </c>
      <c r="I89" s="1">
        <v>45846</v>
      </c>
      <c r="J89" t="s">
        <v>22</v>
      </c>
      <c r="K89" t="s">
        <v>16</v>
      </c>
      <c r="L89">
        <v>2790.95</v>
      </c>
    </row>
    <row r="90" spans="1:12">
      <c r="A90">
        <v>1088</v>
      </c>
      <c r="B90" t="s">
        <v>137</v>
      </c>
      <c r="C90" t="s">
        <v>29</v>
      </c>
      <c r="D90" t="s">
        <v>138</v>
      </c>
      <c r="E90">
        <v>2</v>
      </c>
      <c r="F90">
        <v>3891.14</v>
      </c>
      <c r="G90">
        <v>0.6</v>
      </c>
      <c r="H90">
        <v>0</v>
      </c>
      <c r="I90" s="1">
        <v>45785</v>
      </c>
      <c r="J90" t="s">
        <v>45</v>
      </c>
      <c r="K90" t="s">
        <v>16</v>
      </c>
      <c r="L90">
        <v>1374.27</v>
      </c>
    </row>
    <row r="91" spans="1:12">
      <c r="A91">
        <v>1089</v>
      </c>
      <c r="B91" t="s">
        <v>139</v>
      </c>
      <c r="C91" t="s">
        <v>25</v>
      </c>
      <c r="D91" t="s">
        <v>63</v>
      </c>
      <c r="E91">
        <v>2</v>
      </c>
      <c r="F91">
        <v>1412.17</v>
      </c>
      <c r="G91">
        <v>0.88</v>
      </c>
      <c r="H91">
        <v>0</v>
      </c>
      <c r="I91" s="1">
        <v>45710</v>
      </c>
      <c r="J91" t="s">
        <v>22</v>
      </c>
      <c r="K91" t="s">
        <v>16</v>
      </c>
      <c r="L91">
        <v>-355.26</v>
      </c>
    </row>
    <row r="92" spans="1:12">
      <c r="A92">
        <v>1090</v>
      </c>
      <c r="B92" t="s">
        <v>140</v>
      </c>
      <c r="C92" t="s">
        <v>25</v>
      </c>
      <c r="D92" t="s">
        <v>63</v>
      </c>
      <c r="E92">
        <v>5</v>
      </c>
      <c r="F92">
        <v>2477.8200000000002</v>
      </c>
      <c r="G92">
        <v>0.6</v>
      </c>
      <c r="H92">
        <v>0</v>
      </c>
      <c r="I92" s="1">
        <v>45605</v>
      </c>
      <c r="J92" t="s">
        <v>18</v>
      </c>
      <c r="K92" t="s">
        <v>16</v>
      </c>
      <c r="L92">
        <v>-888.86</v>
      </c>
    </row>
    <row r="93" spans="1:12">
      <c r="A93">
        <v>1091</v>
      </c>
      <c r="B93" t="s">
        <v>141</v>
      </c>
      <c r="C93" t="s">
        <v>29</v>
      </c>
      <c r="D93" t="s">
        <v>30</v>
      </c>
      <c r="E93">
        <v>1</v>
      </c>
      <c r="F93">
        <v>2747.5450000000001</v>
      </c>
      <c r="G93">
        <v>0.6</v>
      </c>
      <c r="H93">
        <v>0</v>
      </c>
      <c r="I93" s="1">
        <v>45135</v>
      </c>
      <c r="J93" t="s">
        <v>15</v>
      </c>
      <c r="K93" t="s">
        <v>16</v>
      </c>
      <c r="L93">
        <v>156.43</v>
      </c>
    </row>
    <row r="94" spans="1:12">
      <c r="A94">
        <v>1092</v>
      </c>
      <c r="B94" t="s">
        <v>142</v>
      </c>
      <c r="C94" t="s">
        <v>38</v>
      </c>
      <c r="D94" t="s">
        <v>88</v>
      </c>
      <c r="E94">
        <v>2</v>
      </c>
      <c r="F94">
        <v>2747.5450000000001</v>
      </c>
      <c r="G94">
        <v>0.6</v>
      </c>
      <c r="H94">
        <v>0</v>
      </c>
      <c r="I94" s="1">
        <v>45826</v>
      </c>
      <c r="J94" t="s">
        <v>45</v>
      </c>
      <c r="K94" t="s">
        <v>16</v>
      </c>
      <c r="L94">
        <v>1122.6600000000001</v>
      </c>
    </row>
    <row r="95" spans="1:12">
      <c r="A95">
        <v>1093</v>
      </c>
      <c r="B95" t="s">
        <v>143</v>
      </c>
      <c r="C95" t="s">
        <v>38</v>
      </c>
      <c r="D95" t="s">
        <v>88</v>
      </c>
      <c r="E95">
        <v>-2</v>
      </c>
      <c r="F95">
        <v>2747.5450000000001</v>
      </c>
      <c r="G95">
        <v>0.6</v>
      </c>
      <c r="H95">
        <v>0</v>
      </c>
      <c r="I95" s="1">
        <v>45629</v>
      </c>
      <c r="J95" t="s">
        <v>27</v>
      </c>
      <c r="K95" t="s">
        <v>23</v>
      </c>
      <c r="L95">
        <v>2966.76</v>
      </c>
    </row>
    <row r="96" spans="1:12">
      <c r="A96">
        <v>1094</v>
      </c>
      <c r="B96" t="s">
        <v>144</v>
      </c>
      <c r="C96" t="s">
        <v>20</v>
      </c>
      <c r="D96" t="s">
        <v>85</v>
      </c>
      <c r="E96">
        <v>-1</v>
      </c>
      <c r="F96">
        <v>4741.41</v>
      </c>
      <c r="G96">
        <v>0.6</v>
      </c>
      <c r="H96">
        <v>0</v>
      </c>
      <c r="I96" s="1">
        <v>45826</v>
      </c>
      <c r="J96" t="s">
        <v>22</v>
      </c>
      <c r="K96" t="s">
        <v>16</v>
      </c>
      <c r="L96">
        <v>1901.7</v>
      </c>
    </row>
    <row r="97" spans="1:12">
      <c r="A97">
        <v>1035</v>
      </c>
      <c r="B97" t="s">
        <v>145</v>
      </c>
      <c r="C97" t="s">
        <v>29</v>
      </c>
      <c r="D97" t="s">
        <v>30</v>
      </c>
      <c r="E97">
        <v>2</v>
      </c>
      <c r="F97">
        <v>2747.5450000000001</v>
      </c>
      <c r="G97">
        <v>0.6</v>
      </c>
      <c r="H97">
        <v>0</v>
      </c>
      <c r="I97" s="1">
        <v>45661</v>
      </c>
      <c r="J97" t="s">
        <v>22</v>
      </c>
      <c r="K97" t="s">
        <v>16</v>
      </c>
      <c r="L97">
        <v>1539.59</v>
      </c>
    </row>
    <row r="98" spans="1:12">
      <c r="A98">
        <v>1033</v>
      </c>
      <c r="B98" t="s">
        <v>146</v>
      </c>
      <c r="C98" t="s">
        <v>29</v>
      </c>
      <c r="D98" t="s">
        <v>30</v>
      </c>
      <c r="E98">
        <v>2</v>
      </c>
      <c r="F98">
        <v>421.92</v>
      </c>
      <c r="G98">
        <v>0.6</v>
      </c>
      <c r="H98">
        <v>0</v>
      </c>
      <c r="I98" s="1">
        <v>45826</v>
      </c>
      <c r="J98" t="s">
        <v>31</v>
      </c>
      <c r="K98" t="s">
        <v>16</v>
      </c>
      <c r="L98">
        <v>2969.19</v>
      </c>
    </row>
    <row r="99" spans="1:12">
      <c r="A99">
        <v>1097</v>
      </c>
      <c r="B99" t="s">
        <v>147</v>
      </c>
      <c r="C99" t="s">
        <v>29</v>
      </c>
      <c r="D99" t="s">
        <v>41</v>
      </c>
      <c r="E99">
        <v>0</v>
      </c>
      <c r="F99">
        <v>2747.5450000000001</v>
      </c>
      <c r="G99">
        <v>0.6</v>
      </c>
      <c r="H99">
        <v>0</v>
      </c>
      <c r="I99" s="1">
        <v>45675</v>
      </c>
      <c r="J99" t="s">
        <v>22</v>
      </c>
      <c r="K99" t="s">
        <v>16</v>
      </c>
      <c r="L99">
        <v>1141.1500000000001</v>
      </c>
    </row>
    <row r="100" spans="1:12">
      <c r="A100">
        <v>1098</v>
      </c>
      <c r="B100" t="s">
        <v>148</v>
      </c>
      <c r="C100" t="s">
        <v>29</v>
      </c>
      <c r="D100" t="s">
        <v>138</v>
      </c>
      <c r="E100">
        <v>0</v>
      </c>
      <c r="F100">
        <v>4752.04</v>
      </c>
      <c r="G100">
        <v>0.6</v>
      </c>
      <c r="H100">
        <v>0</v>
      </c>
      <c r="I100" s="1">
        <v>45543</v>
      </c>
      <c r="J100" t="s">
        <v>18</v>
      </c>
      <c r="K100" t="s">
        <v>16</v>
      </c>
      <c r="L100">
        <v>129.37</v>
      </c>
    </row>
    <row r="101" spans="1:12">
      <c r="A101">
        <v>1099</v>
      </c>
      <c r="B101" t="s">
        <v>149</v>
      </c>
      <c r="C101" t="s">
        <v>25</v>
      </c>
      <c r="D101" t="s">
        <v>26</v>
      </c>
      <c r="E101">
        <v>2</v>
      </c>
      <c r="F101">
        <v>2747.5450000000001</v>
      </c>
      <c r="G101">
        <v>0.6</v>
      </c>
      <c r="H101">
        <v>0</v>
      </c>
      <c r="I101" s="1">
        <v>45344</v>
      </c>
      <c r="J101" t="s">
        <v>45</v>
      </c>
      <c r="K101" t="s">
        <v>23</v>
      </c>
      <c r="L101">
        <v>300.02</v>
      </c>
    </row>
    <row r="102" spans="1:12">
      <c r="A102">
        <v>1100</v>
      </c>
      <c r="B102" t="s">
        <v>150</v>
      </c>
      <c r="C102" t="s">
        <v>25</v>
      </c>
      <c r="D102" t="s">
        <v>83</v>
      </c>
      <c r="E102">
        <v>2</v>
      </c>
      <c r="F102">
        <v>2011.73</v>
      </c>
      <c r="G102">
        <v>0.6</v>
      </c>
      <c r="H102">
        <v>0</v>
      </c>
      <c r="I102" s="1">
        <v>45656</v>
      </c>
      <c r="J102" t="s">
        <v>31</v>
      </c>
      <c r="K102" t="s">
        <v>16</v>
      </c>
      <c r="L102">
        <v>2493.5</v>
      </c>
    </row>
    <row r="103" spans="1:12">
      <c r="A103">
        <v>1101</v>
      </c>
      <c r="B103" t="s">
        <v>151</v>
      </c>
      <c r="C103" t="s">
        <v>13</v>
      </c>
      <c r="D103" t="s">
        <v>36</v>
      </c>
      <c r="E103">
        <v>2</v>
      </c>
      <c r="F103">
        <v>2747.5450000000001</v>
      </c>
      <c r="G103">
        <v>0.22</v>
      </c>
      <c r="H103">
        <v>0</v>
      </c>
      <c r="I103" s="1">
        <v>45720</v>
      </c>
      <c r="J103" t="s">
        <v>45</v>
      </c>
      <c r="K103" t="s">
        <v>16</v>
      </c>
      <c r="L103">
        <v>2962.73</v>
      </c>
    </row>
    <row r="104" spans="1:12">
      <c r="A104">
        <v>1102</v>
      </c>
      <c r="B104" t="s">
        <v>152</v>
      </c>
      <c r="C104" t="s">
        <v>13</v>
      </c>
      <c r="D104" t="s">
        <v>36</v>
      </c>
      <c r="E104">
        <v>5</v>
      </c>
      <c r="F104">
        <v>2747.5450000000001</v>
      </c>
      <c r="G104">
        <v>0.6</v>
      </c>
      <c r="H104">
        <v>0</v>
      </c>
      <c r="I104" s="1">
        <v>45762</v>
      </c>
      <c r="J104" t="s">
        <v>31</v>
      </c>
      <c r="K104" t="s">
        <v>16</v>
      </c>
      <c r="L104">
        <v>2776.7</v>
      </c>
    </row>
    <row r="105" spans="1:12">
      <c r="A105">
        <v>1103</v>
      </c>
      <c r="B105" t="s">
        <v>153</v>
      </c>
      <c r="C105" t="s">
        <v>38</v>
      </c>
      <c r="D105" t="s">
        <v>88</v>
      </c>
      <c r="E105">
        <v>5</v>
      </c>
      <c r="F105">
        <v>1521.46</v>
      </c>
      <c r="G105">
        <v>0.6</v>
      </c>
      <c r="H105">
        <v>0</v>
      </c>
      <c r="I105" s="1">
        <v>45819</v>
      </c>
      <c r="J105" t="s">
        <v>27</v>
      </c>
      <c r="K105" t="s">
        <v>23</v>
      </c>
      <c r="L105">
        <v>1713.47</v>
      </c>
    </row>
    <row r="106" spans="1:12">
      <c r="A106">
        <v>1104</v>
      </c>
      <c r="B106" t="s">
        <v>154</v>
      </c>
      <c r="C106" t="s">
        <v>38</v>
      </c>
      <c r="D106" t="s">
        <v>56</v>
      </c>
      <c r="E106">
        <v>3</v>
      </c>
      <c r="F106">
        <v>2752.71</v>
      </c>
      <c r="G106">
        <v>0.6</v>
      </c>
      <c r="H106">
        <v>0</v>
      </c>
      <c r="I106" s="1">
        <v>45454</v>
      </c>
      <c r="J106" t="s">
        <v>18</v>
      </c>
      <c r="K106" t="s">
        <v>23</v>
      </c>
      <c r="L106">
        <v>1660.01</v>
      </c>
    </row>
    <row r="107" spans="1:12">
      <c r="A107">
        <v>1105</v>
      </c>
      <c r="B107" t="s">
        <v>155</v>
      </c>
      <c r="C107" t="s">
        <v>38</v>
      </c>
      <c r="D107" t="s">
        <v>56</v>
      </c>
      <c r="E107">
        <v>-2</v>
      </c>
      <c r="F107">
        <v>2747.5450000000001</v>
      </c>
      <c r="G107">
        <v>0.6</v>
      </c>
      <c r="H107">
        <v>0</v>
      </c>
      <c r="I107" s="1">
        <v>45826</v>
      </c>
      <c r="J107" t="s">
        <v>18</v>
      </c>
      <c r="K107" t="s">
        <v>23</v>
      </c>
      <c r="L107">
        <v>616.04</v>
      </c>
    </row>
    <row r="108" spans="1:12">
      <c r="A108">
        <v>1106</v>
      </c>
      <c r="B108" t="s">
        <v>156</v>
      </c>
      <c r="C108" t="s">
        <v>13</v>
      </c>
      <c r="D108" t="s">
        <v>36</v>
      </c>
      <c r="E108">
        <v>3</v>
      </c>
      <c r="F108">
        <v>2747.5450000000001</v>
      </c>
      <c r="G108">
        <v>0.6</v>
      </c>
      <c r="H108">
        <v>0</v>
      </c>
      <c r="I108" s="1">
        <v>45748</v>
      </c>
      <c r="J108" t="s">
        <v>45</v>
      </c>
      <c r="K108" t="s">
        <v>16</v>
      </c>
      <c r="L108">
        <v>53.28</v>
      </c>
    </row>
    <row r="109" spans="1:12">
      <c r="A109">
        <v>1107</v>
      </c>
      <c r="B109" t="s">
        <v>157</v>
      </c>
      <c r="C109" t="s">
        <v>13</v>
      </c>
      <c r="D109" t="s">
        <v>48</v>
      </c>
      <c r="E109">
        <v>2</v>
      </c>
      <c r="F109">
        <v>4948</v>
      </c>
      <c r="G109">
        <v>0.6</v>
      </c>
      <c r="H109">
        <v>0</v>
      </c>
      <c r="I109" s="1">
        <v>45826</v>
      </c>
      <c r="J109" t="s">
        <v>15</v>
      </c>
      <c r="K109" t="s">
        <v>16</v>
      </c>
      <c r="L109">
        <v>1064.8599999999999</v>
      </c>
    </row>
    <row r="110" spans="1:12">
      <c r="A110">
        <v>1036</v>
      </c>
      <c r="B110" t="s">
        <v>158</v>
      </c>
      <c r="C110" t="s">
        <v>13</v>
      </c>
      <c r="D110" t="s">
        <v>48</v>
      </c>
      <c r="E110">
        <v>1</v>
      </c>
      <c r="F110">
        <v>4601.4399999999996</v>
      </c>
      <c r="G110">
        <v>0.6</v>
      </c>
      <c r="H110">
        <v>0</v>
      </c>
      <c r="I110" s="1">
        <v>45642</v>
      </c>
      <c r="J110" t="s">
        <v>22</v>
      </c>
      <c r="K110" t="s">
        <v>16</v>
      </c>
      <c r="L110">
        <v>2145.66</v>
      </c>
    </row>
    <row r="111" spans="1:12">
      <c r="A111">
        <v>1109</v>
      </c>
      <c r="B111" t="s">
        <v>159</v>
      </c>
      <c r="C111" t="s">
        <v>13</v>
      </c>
      <c r="D111" t="s">
        <v>99</v>
      </c>
      <c r="E111">
        <v>2</v>
      </c>
      <c r="F111">
        <v>2747.5450000000001</v>
      </c>
      <c r="G111">
        <v>0.6</v>
      </c>
      <c r="H111">
        <v>0</v>
      </c>
      <c r="I111" s="1">
        <v>45779</v>
      </c>
      <c r="J111" t="s">
        <v>31</v>
      </c>
      <c r="K111" t="s">
        <v>16</v>
      </c>
      <c r="L111">
        <v>2133.58</v>
      </c>
    </row>
    <row r="112" spans="1:12">
      <c r="A112">
        <v>1110</v>
      </c>
      <c r="B112" t="s">
        <v>160</v>
      </c>
      <c r="C112" t="s">
        <v>13</v>
      </c>
      <c r="D112" t="s">
        <v>14</v>
      </c>
      <c r="E112">
        <v>4</v>
      </c>
      <c r="F112">
        <v>2747.5450000000001</v>
      </c>
      <c r="G112">
        <v>0.6</v>
      </c>
      <c r="H112">
        <v>0</v>
      </c>
      <c r="I112" s="1">
        <v>45834</v>
      </c>
      <c r="J112" t="s">
        <v>22</v>
      </c>
      <c r="K112" t="s">
        <v>16</v>
      </c>
      <c r="L112">
        <v>2155.6799999999998</v>
      </c>
    </row>
    <row r="113" spans="1:12">
      <c r="A113">
        <v>1111</v>
      </c>
      <c r="B113" t="s">
        <v>161</v>
      </c>
      <c r="C113" t="s">
        <v>33</v>
      </c>
      <c r="D113" t="s">
        <v>69</v>
      </c>
      <c r="E113">
        <v>2</v>
      </c>
      <c r="F113">
        <v>2747.5450000000001</v>
      </c>
      <c r="G113">
        <v>0.6</v>
      </c>
      <c r="H113">
        <v>0</v>
      </c>
      <c r="I113" s="1">
        <v>45826</v>
      </c>
      <c r="J113" t="s">
        <v>18</v>
      </c>
      <c r="K113" t="s">
        <v>16</v>
      </c>
      <c r="L113">
        <v>748.93</v>
      </c>
    </row>
    <row r="114" spans="1:12">
      <c r="A114">
        <v>1112</v>
      </c>
      <c r="B114" t="s">
        <v>162</v>
      </c>
      <c r="C114" t="s">
        <v>38</v>
      </c>
      <c r="D114" t="s">
        <v>39</v>
      </c>
      <c r="E114">
        <v>2</v>
      </c>
      <c r="F114">
        <v>1027.56</v>
      </c>
      <c r="G114">
        <v>0.6</v>
      </c>
      <c r="H114">
        <v>0</v>
      </c>
      <c r="I114" s="1">
        <v>45826</v>
      </c>
      <c r="J114" t="s">
        <v>22</v>
      </c>
      <c r="K114" t="s">
        <v>16</v>
      </c>
      <c r="L114">
        <v>1160.17</v>
      </c>
    </row>
    <row r="115" spans="1:12">
      <c r="A115">
        <v>1113</v>
      </c>
      <c r="B115" t="s">
        <v>163</v>
      </c>
      <c r="C115" t="s">
        <v>20</v>
      </c>
      <c r="D115" t="s">
        <v>21</v>
      </c>
      <c r="E115">
        <v>2</v>
      </c>
      <c r="F115">
        <v>3864.5</v>
      </c>
      <c r="G115">
        <v>0.6</v>
      </c>
      <c r="H115">
        <v>0</v>
      </c>
      <c r="I115" s="1">
        <v>45826</v>
      </c>
      <c r="J115" t="s">
        <v>18</v>
      </c>
      <c r="K115" t="s">
        <v>16</v>
      </c>
      <c r="L115">
        <v>-763.23</v>
      </c>
    </row>
    <row r="116" spans="1:12">
      <c r="A116">
        <v>1114</v>
      </c>
      <c r="B116" t="s">
        <v>164</v>
      </c>
      <c r="C116" t="s">
        <v>38</v>
      </c>
      <c r="D116" t="s">
        <v>88</v>
      </c>
      <c r="E116">
        <v>6</v>
      </c>
      <c r="F116">
        <v>568.61</v>
      </c>
      <c r="G116">
        <v>0.2</v>
      </c>
      <c r="H116">
        <v>2729.33</v>
      </c>
      <c r="I116" s="1">
        <v>45706</v>
      </c>
      <c r="J116" t="s">
        <v>15</v>
      </c>
      <c r="K116" t="s">
        <v>16</v>
      </c>
      <c r="L116">
        <v>-689.16</v>
      </c>
    </row>
    <row r="117" spans="1:12">
      <c r="A117">
        <v>1115</v>
      </c>
      <c r="B117" t="s">
        <v>165</v>
      </c>
      <c r="C117" t="s">
        <v>29</v>
      </c>
      <c r="D117" t="s">
        <v>30</v>
      </c>
      <c r="E117">
        <v>2</v>
      </c>
      <c r="F117">
        <v>2747.5450000000001</v>
      </c>
      <c r="G117">
        <v>0.6</v>
      </c>
      <c r="H117">
        <v>0</v>
      </c>
      <c r="I117" s="1">
        <v>45826</v>
      </c>
      <c r="J117" t="s">
        <v>18</v>
      </c>
      <c r="K117" t="s">
        <v>16</v>
      </c>
      <c r="L117">
        <v>-624.26</v>
      </c>
    </row>
    <row r="118" spans="1:12">
      <c r="A118">
        <v>1116</v>
      </c>
      <c r="B118" t="s">
        <v>166</v>
      </c>
      <c r="C118" t="s">
        <v>20</v>
      </c>
      <c r="D118" t="s">
        <v>77</v>
      </c>
      <c r="E118">
        <v>1</v>
      </c>
      <c r="F118">
        <v>2747.5450000000001</v>
      </c>
      <c r="G118">
        <v>0.6</v>
      </c>
      <c r="H118">
        <v>0</v>
      </c>
      <c r="I118" s="1">
        <v>45718</v>
      </c>
      <c r="J118" t="s">
        <v>15</v>
      </c>
      <c r="K118" t="s">
        <v>16</v>
      </c>
      <c r="L118">
        <v>1733.04</v>
      </c>
    </row>
    <row r="119" spans="1:12">
      <c r="A119">
        <v>1117</v>
      </c>
      <c r="B119" t="s">
        <v>167</v>
      </c>
      <c r="C119" t="s">
        <v>20</v>
      </c>
      <c r="D119" t="s">
        <v>21</v>
      </c>
      <c r="E119">
        <v>2</v>
      </c>
      <c r="F119">
        <v>3567.55</v>
      </c>
      <c r="G119">
        <v>0.6</v>
      </c>
      <c r="H119">
        <v>0</v>
      </c>
      <c r="I119" s="1">
        <v>45826</v>
      </c>
      <c r="J119" t="s">
        <v>27</v>
      </c>
      <c r="K119" t="s">
        <v>16</v>
      </c>
      <c r="L119">
        <v>-455.6</v>
      </c>
    </row>
    <row r="120" spans="1:12">
      <c r="A120">
        <v>1118</v>
      </c>
      <c r="B120" t="s">
        <v>168</v>
      </c>
      <c r="C120" t="s">
        <v>29</v>
      </c>
      <c r="D120" t="s">
        <v>30</v>
      </c>
      <c r="E120">
        <v>2</v>
      </c>
      <c r="F120">
        <v>2747.5450000000001</v>
      </c>
      <c r="G120">
        <v>0.6</v>
      </c>
      <c r="H120">
        <v>0</v>
      </c>
      <c r="I120" s="1">
        <v>45778</v>
      </c>
      <c r="J120" t="s">
        <v>27</v>
      </c>
      <c r="K120" t="s">
        <v>16</v>
      </c>
      <c r="L120">
        <v>1039.53</v>
      </c>
    </row>
    <row r="121" spans="1:12">
      <c r="A121">
        <v>1119</v>
      </c>
      <c r="B121" t="s">
        <v>169</v>
      </c>
      <c r="C121" t="s">
        <v>13</v>
      </c>
      <c r="D121" t="s">
        <v>99</v>
      </c>
      <c r="E121">
        <v>2</v>
      </c>
      <c r="F121">
        <v>2747.5450000000001</v>
      </c>
      <c r="G121">
        <v>0.6</v>
      </c>
      <c r="H121">
        <v>0</v>
      </c>
      <c r="I121" s="1">
        <v>45791</v>
      </c>
      <c r="J121" t="s">
        <v>22</v>
      </c>
      <c r="K121" t="s">
        <v>16</v>
      </c>
      <c r="L121">
        <v>142.69</v>
      </c>
    </row>
    <row r="122" spans="1:12">
      <c r="A122">
        <v>1120</v>
      </c>
      <c r="B122" t="s">
        <v>170</v>
      </c>
      <c r="C122" t="s">
        <v>20</v>
      </c>
      <c r="D122" t="s">
        <v>21</v>
      </c>
      <c r="E122">
        <v>2</v>
      </c>
      <c r="F122">
        <v>4709</v>
      </c>
      <c r="G122">
        <v>0.6</v>
      </c>
      <c r="H122">
        <v>0</v>
      </c>
      <c r="I122" s="1">
        <v>45782</v>
      </c>
      <c r="J122" t="s">
        <v>18</v>
      </c>
      <c r="K122" t="s">
        <v>16</v>
      </c>
      <c r="L122">
        <v>828.98</v>
      </c>
    </row>
    <row r="123" spans="1:12">
      <c r="A123">
        <v>1121</v>
      </c>
      <c r="B123" t="s">
        <v>171</v>
      </c>
      <c r="C123" t="s">
        <v>25</v>
      </c>
      <c r="D123" t="s">
        <v>83</v>
      </c>
      <c r="E123">
        <v>2</v>
      </c>
      <c r="F123">
        <v>4109.6000000000004</v>
      </c>
      <c r="G123">
        <v>0.42</v>
      </c>
      <c r="H123">
        <v>0</v>
      </c>
      <c r="I123" s="1">
        <v>45826</v>
      </c>
      <c r="J123" t="s">
        <v>45</v>
      </c>
      <c r="K123" t="s">
        <v>16</v>
      </c>
      <c r="L123">
        <v>1422.36</v>
      </c>
    </row>
    <row r="124" spans="1:12">
      <c r="A124">
        <v>1122</v>
      </c>
      <c r="B124" t="s">
        <v>172</v>
      </c>
      <c r="C124" t="s">
        <v>20</v>
      </c>
      <c r="D124" t="s">
        <v>77</v>
      </c>
      <c r="E124">
        <v>0</v>
      </c>
      <c r="F124">
        <v>4745.03</v>
      </c>
      <c r="G124">
        <v>0.4</v>
      </c>
      <c r="H124">
        <v>0</v>
      </c>
      <c r="I124" s="1">
        <v>45826</v>
      </c>
      <c r="J124" t="s">
        <v>22</v>
      </c>
      <c r="K124" t="s">
        <v>16</v>
      </c>
      <c r="L124">
        <v>2658.02</v>
      </c>
    </row>
    <row r="125" spans="1:12">
      <c r="A125">
        <v>1123</v>
      </c>
      <c r="B125" t="s">
        <v>173</v>
      </c>
      <c r="C125" t="s">
        <v>29</v>
      </c>
      <c r="D125" t="s">
        <v>138</v>
      </c>
      <c r="E125">
        <v>5</v>
      </c>
      <c r="F125">
        <v>3978.76</v>
      </c>
      <c r="G125">
        <v>0.6</v>
      </c>
      <c r="H125">
        <v>0</v>
      </c>
      <c r="I125" s="1">
        <v>45393</v>
      </c>
      <c r="J125" t="s">
        <v>18</v>
      </c>
      <c r="K125" t="s">
        <v>16</v>
      </c>
      <c r="L125">
        <v>1494.78</v>
      </c>
    </row>
    <row r="126" spans="1:12">
      <c r="A126">
        <v>1002</v>
      </c>
      <c r="B126" t="s">
        <v>174</v>
      </c>
      <c r="C126" t="s">
        <v>20</v>
      </c>
      <c r="D126" t="s">
        <v>21</v>
      </c>
      <c r="E126">
        <v>1</v>
      </c>
      <c r="F126">
        <v>2747.5450000000001</v>
      </c>
      <c r="G126">
        <v>0.6</v>
      </c>
      <c r="H126">
        <v>0</v>
      </c>
      <c r="I126" s="1">
        <v>45657</v>
      </c>
      <c r="J126" t="s">
        <v>18</v>
      </c>
      <c r="K126" t="s">
        <v>23</v>
      </c>
      <c r="L126">
        <v>2513.75</v>
      </c>
    </row>
    <row r="127" spans="1:12">
      <c r="A127">
        <v>1125</v>
      </c>
      <c r="B127" t="s">
        <v>175</v>
      </c>
      <c r="C127" t="s">
        <v>25</v>
      </c>
      <c r="D127" t="s">
        <v>83</v>
      </c>
      <c r="E127">
        <v>-2</v>
      </c>
      <c r="F127">
        <v>2747.5450000000001</v>
      </c>
      <c r="G127">
        <v>0.6</v>
      </c>
      <c r="H127">
        <v>0</v>
      </c>
      <c r="I127" s="1">
        <v>45826</v>
      </c>
      <c r="J127" t="s">
        <v>15</v>
      </c>
      <c r="K127" t="s">
        <v>16</v>
      </c>
      <c r="L127">
        <v>-754.58</v>
      </c>
    </row>
    <row r="128" spans="1:12">
      <c r="A128">
        <v>1126</v>
      </c>
      <c r="B128" t="s">
        <v>176</v>
      </c>
      <c r="C128" t="s">
        <v>13</v>
      </c>
      <c r="D128" t="s">
        <v>36</v>
      </c>
      <c r="E128">
        <v>2</v>
      </c>
      <c r="F128">
        <v>2747.5450000000001</v>
      </c>
      <c r="G128">
        <v>0.59</v>
      </c>
      <c r="H128">
        <v>0</v>
      </c>
      <c r="I128" s="1">
        <v>45826</v>
      </c>
      <c r="J128" t="s">
        <v>45</v>
      </c>
      <c r="K128" t="s">
        <v>16</v>
      </c>
      <c r="L128">
        <v>1820.2</v>
      </c>
    </row>
    <row r="129" spans="1:12">
      <c r="A129">
        <v>1127</v>
      </c>
      <c r="B129" t="s">
        <v>177</v>
      </c>
      <c r="C129" t="s">
        <v>38</v>
      </c>
      <c r="D129" t="s">
        <v>88</v>
      </c>
      <c r="E129">
        <v>3</v>
      </c>
      <c r="F129">
        <v>4843.4399999999996</v>
      </c>
      <c r="G129">
        <v>7.0000000000000007E-2</v>
      </c>
      <c r="H129">
        <v>13513.2</v>
      </c>
      <c r="I129" s="1">
        <v>45511</v>
      </c>
      <c r="J129" t="s">
        <v>18</v>
      </c>
      <c r="K129" t="s">
        <v>23</v>
      </c>
      <c r="L129">
        <v>2881.91</v>
      </c>
    </row>
    <row r="130" spans="1:12">
      <c r="A130">
        <v>1128</v>
      </c>
      <c r="B130" t="s">
        <v>178</v>
      </c>
      <c r="C130" t="s">
        <v>33</v>
      </c>
      <c r="D130" t="s">
        <v>43</v>
      </c>
      <c r="E130">
        <v>2</v>
      </c>
      <c r="F130">
        <v>2747.5450000000001</v>
      </c>
      <c r="G130">
        <v>0.43</v>
      </c>
      <c r="H130">
        <v>0</v>
      </c>
      <c r="I130" s="1">
        <v>45826</v>
      </c>
      <c r="J130" t="s">
        <v>31</v>
      </c>
      <c r="K130" t="s">
        <v>16</v>
      </c>
      <c r="L130">
        <v>-68.489999999999995</v>
      </c>
    </row>
    <row r="131" spans="1:12">
      <c r="A131">
        <v>1129</v>
      </c>
      <c r="B131" t="s">
        <v>179</v>
      </c>
      <c r="C131" t="s">
        <v>13</v>
      </c>
      <c r="D131" t="s">
        <v>36</v>
      </c>
      <c r="E131">
        <v>-2</v>
      </c>
      <c r="F131">
        <v>2412.36</v>
      </c>
      <c r="G131">
        <v>0.23</v>
      </c>
      <c r="H131">
        <v>-3715.03</v>
      </c>
      <c r="I131" s="1">
        <v>45835</v>
      </c>
      <c r="J131" t="s">
        <v>22</v>
      </c>
      <c r="K131" t="s">
        <v>16</v>
      </c>
      <c r="L131">
        <v>-668.36</v>
      </c>
    </row>
    <row r="132" spans="1:12">
      <c r="A132">
        <v>1130</v>
      </c>
      <c r="B132" t="s">
        <v>32</v>
      </c>
      <c r="C132" t="s">
        <v>29</v>
      </c>
      <c r="D132" t="s">
        <v>41</v>
      </c>
      <c r="E132">
        <v>2</v>
      </c>
      <c r="F132">
        <v>2747.5450000000001</v>
      </c>
      <c r="G132">
        <v>0.6</v>
      </c>
      <c r="H132">
        <v>0</v>
      </c>
      <c r="I132" s="1">
        <v>45826</v>
      </c>
      <c r="J132" t="s">
        <v>15</v>
      </c>
      <c r="K132" t="s">
        <v>23</v>
      </c>
      <c r="L132">
        <v>2782.45</v>
      </c>
    </row>
    <row r="133" spans="1:12">
      <c r="A133">
        <v>1131</v>
      </c>
      <c r="B133" t="s">
        <v>180</v>
      </c>
      <c r="C133" t="s">
        <v>33</v>
      </c>
      <c r="D133" t="s">
        <v>69</v>
      </c>
      <c r="E133">
        <v>5</v>
      </c>
      <c r="F133">
        <v>2747.5450000000001</v>
      </c>
      <c r="G133">
        <v>0.99</v>
      </c>
      <c r="H133">
        <v>0</v>
      </c>
      <c r="I133" s="1">
        <v>45675</v>
      </c>
      <c r="J133" t="s">
        <v>15</v>
      </c>
      <c r="K133" t="s">
        <v>16</v>
      </c>
      <c r="L133">
        <v>-941.56</v>
      </c>
    </row>
    <row r="134" spans="1:12">
      <c r="A134">
        <v>1132</v>
      </c>
      <c r="B134" t="s">
        <v>181</v>
      </c>
      <c r="C134" t="s">
        <v>20</v>
      </c>
      <c r="D134" t="s">
        <v>77</v>
      </c>
      <c r="E134">
        <v>2</v>
      </c>
      <c r="F134">
        <v>2747.5450000000001</v>
      </c>
      <c r="G134">
        <v>0.57999999999999996</v>
      </c>
      <c r="H134">
        <v>0</v>
      </c>
      <c r="I134" s="1">
        <v>45826</v>
      </c>
      <c r="J134" t="s">
        <v>15</v>
      </c>
      <c r="K134" t="s">
        <v>23</v>
      </c>
      <c r="L134">
        <v>2043.57</v>
      </c>
    </row>
    <row r="135" spans="1:12">
      <c r="A135">
        <v>1133</v>
      </c>
      <c r="B135" t="s">
        <v>182</v>
      </c>
      <c r="C135" t="s">
        <v>38</v>
      </c>
      <c r="D135" t="s">
        <v>39</v>
      </c>
      <c r="E135">
        <v>2</v>
      </c>
      <c r="F135">
        <v>2747.5450000000001</v>
      </c>
      <c r="G135">
        <v>0.6</v>
      </c>
      <c r="H135">
        <v>0</v>
      </c>
      <c r="I135" s="1">
        <v>45826</v>
      </c>
      <c r="J135" t="s">
        <v>18</v>
      </c>
      <c r="K135" t="s">
        <v>16</v>
      </c>
      <c r="L135">
        <v>806.19</v>
      </c>
    </row>
    <row r="136" spans="1:12">
      <c r="A136">
        <v>1134</v>
      </c>
      <c r="B136" t="s">
        <v>183</v>
      </c>
      <c r="C136" t="s">
        <v>38</v>
      </c>
      <c r="D136" t="s">
        <v>60</v>
      </c>
      <c r="E136">
        <v>3</v>
      </c>
      <c r="F136">
        <v>2747.5450000000001</v>
      </c>
      <c r="G136">
        <v>0.6</v>
      </c>
      <c r="H136">
        <v>0</v>
      </c>
      <c r="I136" s="1">
        <v>45791</v>
      </c>
      <c r="J136" t="s">
        <v>15</v>
      </c>
      <c r="K136" t="s">
        <v>16</v>
      </c>
      <c r="L136">
        <v>1101.19</v>
      </c>
    </row>
    <row r="137" spans="1:12">
      <c r="A137">
        <v>1135</v>
      </c>
      <c r="B137" t="s">
        <v>184</v>
      </c>
      <c r="C137" t="s">
        <v>25</v>
      </c>
      <c r="D137" t="s">
        <v>52</v>
      </c>
      <c r="E137">
        <v>4</v>
      </c>
      <c r="F137">
        <v>1556.96</v>
      </c>
      <c r="G137">
        <v>0.84</v>
      </c>
      <c r="H137">
        <v>996.45</v>
      </c>
      <c r="I137" s="1">
        <v>45588</v>
      </c>
      <c r="J137" t="s">
        <v>22</v>
      </c>
      <c r="K137" t="s">
        <v>23</v>
      </c>
      <c r="L137">
        <v>1432.84</v>
      </c>
    </row>
    <row r="138" spans="1:12">
      <c r="A138">
        <v>1136</v>
      </c>
      <c r="B138" t="s">
        <v>185</v>
      </c>
      <c r="C138" t="s">
        <v>13</v>
      </c>
      <c r="D138" t="s">
        <v>48</v>
      </c>
      <c r="E138">
        <v>2</v>
      </c>
      <c r="F138">
        <v>3658.42</v>
      </c>
      <c r="G138">
        <v>0.47</v>
      </c>
      <c r="H138">
        <v>0</v>
      </c>
      <c r="I138" s="1">
        <v>45318</v>
      </c>
      <c r="J138" t="s">
        <v>22</v>
      </c>
      <c r="K138" t="s">
        <v>16</v>
      </c>
      <c r="L138">
        <v>1897.33</v>
      </c>
    </row>
    <row r="139" spans="1:12">
      <c r="A139">
        <v>1137</v>
      </c>
      <c r="B139" t="s">
        <v>186</v>
      </c>
      <c r="C139" t="s">
        <v>25</v>
      </c>
      <c r="D139" t="s">
        <v>52</v>
      </c>
      <c r="E139">
        <v>2</v>
      </c>
      <c r="F139">
        <v>4206.0600000000004</v>
      </c>
      <c r="G139">
        <v>0.6</v>
      </c>
      <c r="H139">
        <v>0</v>
      </c>
      <c r="I139" s="1">
        <v>45770</v>
      </c>
      <c r="J139" t="s">
        <v>15</v>
      </c>
      <c r="K139" t="s">
        <v>23</v>
      </c>
      <c r="L139">
        <v>1161.76</v>
      </c>
    </row>
    <row r="140" spans="1:12">
      <c r="A140">
        <v>1138</v>
      </c>
      <c r="B140" t="s">
        <v>187</v>
      </c>
      <c r="C140" t="s">
        <v>38</v>
      </c>
      <c r="D140" t="s">
        <v>88</v>
      </c>
      <c r="E140">
        <v>2</v>
      </c>
      <c r="F140">
        <v>2747.5450000000001</v>
      </c>
      <c r="G140">
        <v>0.26</v>
      </c>
      <c r="H140">
        <v>0</v>
      </c>
      <c r="I140" s="1">
        <v>45826</v>
      </c>
      <c r="J140" t="s">
        <v>31</v>
      </c>
      <c r="K140" t="s">
        <v>16</v>
      </c>
      <c r="L140">
        <v>-658.58</v>
      </c>
    </row>
    <row r="141" spans="1:12">
      <c r="A141">
        <v>1139</v>
      </c>
      <c r="B141" t="s">
        <v>188</v>
      </c>
      <c r="C141" t="s">
        <v>33</v>
      </c>
      <c r="D141" t="s">
        <v>79</v>
      </c>
      <c r="E141">
        <v>2</v>
      </c>
      <c r="F141">
        <v>2747.5450000000001</v>
      </c>
      <c r="G141">
        <v>0.21</v>
      </c>
      <c r="H141">
        <v>0</v>
      </c>
      <c r="I141" s="1">
        <v>45593</v>
      </c>
      <c r="J141" t="s">
        <v>27</v>
      </c>
      <c r="K141" t="s">
        <v>16</v>
      </c>
      <c r="L141">
        <v>-832.45</v>
      </c>
    </row>
    <row r="142" spans="1:12">
      <c r="A142">
        <v>1140</v>
      </c>
      <c r="B142" t="s">
        <v>189</v>
      </c>
      <c r="C142" t="s">
        <v>29</v>
      </c>
      <c r="D142" t="s">
        <v>30</v>
      </c>
      <c r="E142">
        <v>4</v>
      </c>
      <c r="F142">
        <v>2747.5450000000001</v>
      </c>
      <c r="G142">
        <v>0.6</v>
      </c>
      <c r="H142">
        <v>0</v>
      </c>
      <c r="I142" s="1">
        <v>45517</v>
      </c>
      <c r="J142" t="s">
        <v>31</v>
      </c>
      <c r="K142" t="s">
        <v>23</v>
      </c>
      <c r="L142">
        <v>-127.91</v>
      </c>
    </row>
    <row r="143" spans="1:12">
      <c r="A143">
        <v>1141</v>
      </c>
      <c r="B143" t="s">
        <v>190</v>
      </c>
      <c r="C143" t="s">
        <v>33</v>
      </c>
      <c r="D143" t="s">
        <v>79</v>
      </c>
      <c r="E143">
        <v>2</v>
      </c>
      <c r="F143">
        <v>2747.5450000000001</v>
      </c>
      <c r="G143">
        <v>1.1499999999999999</v>
      </c>
      <c r="H143">
        <v>0</v>
      </c>
      <c r="I143" s="1">
        <v>45401</v>
      </c>
      <c r="J143" t="s">
        <v>15</v>
      </c>
      <c r="K143" t="s">
        <v>16</v>
      </c>
      <c r="L143">
        <v>429.67</v>
      </c>
    </row>
    <row r="144" spans="1:12">
      <c r="A144">
        <v>1142</v>
      </c>
      <c r="B144" t="s">
        <v>191</v>
      </c>
      <c r="C144" t="s">
        <v>38</v>
      </c>
      <c r="D144" t="s">
        <v>88</v>
      </c>
      <c r="E144">
        <v>6</v>
      </c>
      <c r="F144">
        <v>3004.58</v>
      </c>
      <c r="G144">
        <v>0.6</v>
      </c>
      <c r="H144">
        <v>0</v>
      </c>
      <c r="I144" s="1">
        <v>45344</v>
      </c>
      <c r="J144" t="s">
        <v>31</v>
      </c>
      <c r="K144" t="s">
        <v>16</v>
      </c>
      <c r="L144">
        <v>-509.67</v>
      </c>
    </row>
    <row r="145" spans="1:12">
      <c r="A145">
        <v>1143</v>
      </c>
      <c r="B145" t="s">
        <v>192</v>
      </c>
      <c r="C145" t="s">
        <v>20</v>
      </c>
      <c r="D145" t="s">
        <v>85</v>
      </c>
      <c r="E145">
        <v>2</v>
      </c>
      <c r="F145">
        <v>2747.5450000000001</v>
      </c>
      <c r="G145">
        <v>0.6</v>
      </c>
      <c r="H145">
        <v>0</v>
      </c>
      <c r="I145" s="1">
        <v>45782</v>
      </c>
      <c r="J145" t="s">
        <v>27</v>
      </c>
      <c r="K145" t="s">
        <v>16</v>
      </c>
      <c r="L145">
        <v>816.49</v>
      </c>
    </row>
    <row r="146" spans="1:12">
      <c r="A146">
        <v>1144</v>
      </c>
      <c r="B146" t="s">
        <v>193</v>
      </c>
      <c r="C146" t="s">
        <v>13</v>
      </c>
      <c r="D146" t="s">
        <v>14</v>
      </c>
      <c r="E146">
        <v>2</v>
      </c>
      <c r="F146">
        <v>2747.5450000000001</v>
      </c>
      <c r="G146">
        <v>0.19</v>
      </c>
      <c r="H146">
        <v>0</v>
      </c>
      <c r="I146" s="1">
        <v>45826</v>
      </c>
      <c r="J146" t="s">
        <v>22</v>
      </c>
      <c r="K146" t="s">
        <v>16</v>
      </c>
      <c r="L146">
        <v>2966.21</v>
      </c>
    </row>
    <row r="147" spans="1:12">
      <c r="A147">
        <v>1145</v>
      </c>
      <c r="B147" t="s">
        <v>194</v>
      </c>
      <c r="C147" t="s">
        <v>33</v>
      </c>
      <c r="D147" t="s">
        <v>79</v>
      </c>
      <c r="E147">
        <v>-2</v>
      </c>
      <c r="F147">
        <v>3607.9</v>
      </c>
      <c r="G147">
        <v>0.94</v>
      </c>
      <c r="H147">
        <v>-432.95</v>
      </c>
      <c r="I147" s="1">
        <v>45602</v>
      </c>
      <c r="J147" t="s">
        <v>31</v>
      </c>
      <c r="K147" t="s">
        <v>23</v>
      </c>
      <c r="L147">
        <v>-171.58</v>
      </c>
    </row>
    <row r="148" spans="1:12">
      <c r="A148">
        <v>1146</v>
      </c>
      <c r="B148" t="s">
        <v>195</v>
      </c>
      <c r="C148" t="s">
        <v>29</v>
      </c>
      <c r="D148" t="s">
        <v>30</v>
      </c>
      <c r="E148">
        <v>2</v>
      </c>
      <c r="F148">
        <v>2747.5450000000001</v>
      </c>
      <c r="G148">
        <v>1.0900000000000001</v>
      </c>
      <c r="H148">
        <v>0</v>
      </c>
      <c r="I148" s="1">
        <v>45719</v>
      </c>
      <c r="J148" t="s">
        <v>45</v>
      </c>
      <c r="K148" t="s">
        <v>16</v>
      </c>
      <c r="L148">
        <v>-431.7</v>
      </c>
    </row>
    <row r="149" spans="1:12">
      <c r="A149">
        <v>1147</v>
      </c>
      <c r="B149" t="s">
        <v>196</v>
      </c>
      <c r="C149" t="s">
        <v>38</v>
      </c>
      <c r="D149" t="s">
        <v>39</v>
      </c>
      <c r="E149">
        <v>2</v>
      </c>
      <c r="F149">
        <v>2875.46</v>
      </c>
      <c r="G149">
        <v>0.6</v>
      </c>
      <c r="H149">
        <v>0</v>
      </c>
      <c r="I149" s="1">
        <v>45632</v>
      </c>
      <c r="J149" t="s">
        <v>15</v>
      </c>
      <c r="K149" t="s">
        <v>23</v>
      </c>
      <c r="L149">
        <v>-794.99</v>
      </c>
    </row>
    <row r="150" spans="1:12">
      <c r="A150">
        <v>1148</v>
      </c>
      <c r="B150" t="s">
        <v>197</v>
      </c>
      <c r="C150" t="s">
        <v>29</v>
      </c>
      <c r="D150" t="s">
        <v>30</v>
      </c>
      <c r="E150">
        <v>2</v>
      </c>
      <c r="F150">
        <v>2471.48</v>
      </c>
      <c r="G150">
        <v>1.1100000000000001</v>
      </c>
      <c r="H150">
        <v>0</v>
      </c>
      <c r="I150" s="1">
        <v>45680</v>
      </c>
      <c r="J150" t="s">
        <v>22</v>
      </c>
      <c r="K150" t="s">
        <v>16</v>
      </c>
      <c r="L150">
        <v>2247.9</v>
      </c>
    </row>
    <row r="151" spans="1:12">
      <c r="A151">
        <v>1149</v>
      </c>
      <c r="B151" t="s">
        <v>198</v>
      </c>
      <c r="C151" t="s">
        <v>38</v>
      </c>
      <c r="D151" t="s">
        <v>88</v>
      </c>
      <c r="E151">
        <v>2</v>
      </c>
      <c r="F151">
        <v>2747.5450000000001</v>
      </c>
      <c r="G151">
        <v>0.6</v>
      </c>
      <c r="H151">
        <v>0</v>
      </c>
      <c r="I151" s="1">
        <v>45570</v>
      </c>
      <c r="J151" t="s">
        <v>31</v>
      </c>
      <c r="K151" t="s">
        <v>23</v>
      </c>
      <c r="L151">
        <v>562.69000000000005</v>
      </c>
    </row>
    <row r="152" spans="1:12">
      <c r="A152">
        <v>1150</v>
      </c>
      <c r="B152" t="s">
        <v>199</v>
      </c>
      <c r="C152" t="s">
        <v>29</v>
      </c>
      <c r="D152" t="s">
        <v>41</v>
      </c>
      <c r="E152">
        <v>2</v>
      </c>
      <c r="F152">
        <v>1554.9</v>
      </c>
      <c r="G152">
        <v>0.6</v>
      </c>
      <c r="H152">
        <v>0</v>
      </c>
      <c r="I152" s="1">
        <v>45582</v>
      </c>
      <c r="J152" t="s">
        <v>18</v>
      </c>
      <c r="K152" t="s">
        <v>16</v>
      </c>
      <c r="L152">
        <v>457.65</v>
      </c>
    </row>
    <row r="153" spans="1:12">
      <c r="A153">
        <v>1151</v>
      </c>
      <c r="B153" t="s">
        <v>200</v>
      </c>
      <c r="C153" t="s">
        <v>13</v>
      </c>
      <c r="D153" t="s">
        <v>48</v>
      </c>
      <c r="E153">
        <v>4</v>
      </c>
      <c r="F153">
        <v>2266.44</v>
      </c>
      <c r="G153">
        <v>0.33</v>
      </c>
      <c r="H153">
        <v>6074.06</v>
      </c>
      <c r="I153" s="1">
        <v>45855</v>
      </c>
      <c r="J153" t="s">
        <v>45</v>
      </c>
      <c r="K153" t="s">
        <v>16</v>
      </c>
      <c r="L153">
        <v>-655.45</v>
      </c>
    </row>
    <row r="154" spans="1:12">
      <c r="A154">
        <v>1152</v>
      </c>
      <c r="B154" t="s">
        <v>201</v>
      </c>
      <c r="C154" t="s">
        <v>25</v>
      </c>
      <c r="D154" t="s">
        <v>63</v>
      </c>
      <c r="E154">
        <v>1</v>
      </c>
      <c r="F154">
        <v>2747.5450000000001</v>
      </c>
      <c r="G154">
        <v>1.26</v>
      </c>
      <c r="H154">
        <v>0</v>
      </c>
      <c r="I154" s="1">
        <v>45599</v>
      </c>
      <c r="J154" t="s">
        <v>45</v>
      </c>
      <c r="K154" t="s">
        <v>16</v>
      </c>
      <c r="L154">
        <v>454.45</v>
      </c>
    </row>
    <row r="155" spans="1:12">
      <c r="A155">
        <v>1153</v>
      </c>
      <c r="B155" t="s">
        <v>202</v>
      </c>
      <c r="C155" t="s">
        <v>29</v>
      </c>
      <c r="D155" t="s">
        <v>30</v>
      </c>
      <c r="E155">
        <v>1</v>
      </c>
      <c r="F155">
        <v>478.59</v>
      </c>
      <c r="G155">
        <v>0.6</v>
      </c>
      <c r="H155">
        <v>0</v>
      </c>
      <c r="I155" s="1">
        <v>45641</v>
      </c>
      <c r="J155" t="s">
        <v>15</v>
      </c>
      <c r="K155" t="s">
        <v>23</v>
      </c>
      <c r="L155">
        <v>-681.2</v>
      </c>
    </row>
    <row r="156" spans="1:12">
      <c r="A156">
        <v>1154</v>
      </c>
      <c r="B156" t="s">
        <v>203</v>
      </c>
      <c r="C156" t="s">
        <v>29</v>
      </c>
      <c r="D156" t="s">
        <v>117</v>
      </c>
      <c r="E156">
        <v>2</v>
      </c>
      <c r="F156">
        <v>2747.5450000000001</v>
      </c>
      <c r="G156">
        <v>0.6</v>
      </c>
      <c r="H156">
        <v>0</v>
      </c>
      <c r="I156" s="1">
        <v>45575</v>
      </c>
      <c r="J156" t="s">
        <v>27</v>
      </c>
      <c r="K156" t="s">
        <v>16</v>
      </c>
      <c r="L156">
        <v>52.85</v>
      </c>
    </row>
    <row r="157" spans="1:12">
      <c r="A157">
        <v>1155</v>
      </c>
      <c r="B157" t="s">
        <v>204</v>
      </c>
      <c r="C157" t="s">
        <v>25</v>
      </c>
      <c r="D157" t="s">
        <v>63</v>
      </c>
      <c r="E157">
        <v>2</v>
      </c>
      <c r="F157">
        <v>2747.5450000000001</v>
      </c>
      <c r="G157">
        <v>0.64</v>
      </c>
      <c r="H157">
        <v>0</v>
      </c>
      <c r="I157" s="1">
        <v>45604</v>
      </c>
      <c r="J157" t="s">
        <v>22</v>
      </c>
      <c r="K157" t="s">
        <v>16</v>
      </c>
      <c r="L157">
        <v>2493.12</v>
      </c>
    </row>
    <row r="158" spans="1:12">
      <c r="A158">
        <v>1156</v>
      </c>
      <c r="B158" t="s">
        <v>205</v>
      </c>
      <c r="C158" t="s">
        <v>38</v>
      </c>
      <c r="D158" t="s">
        <v>60</v>
      </c>
      <c r="E158">
        <v>3</v>
      </c>
      <c r="F158">
        <v>2747.5450000000001</v>
      </c>
      <c r="G158">
        <v>0.93</v>
      </c>
      <c r="H158">
        <v>0</v>
      </c>
      <c r="I158" s="1">
        <v>45826</v>
      </c>
      <c r="J158" t="s">
        <v>15</v>
      </c>
      <c r="K158" t="s">
        <v>16</v>
      </c>
      <c r="L158">
        <v>1699.17</v>
      </c>
    </row>
    <row r="159" spans="1:12">
      <c r="A159">
        <v>1157</v>
      </c>
      <c r="B159" t="s">
        <v>206</v>
      </c>
      <c r="C159" t="s">
        <v>13</v>
      </c>
      <c r="D159" t="s">
        <v>99</v>
      </c>
      <c r="E159">
        <v>6</v>
      </c>
      <c r="F159">
        <v>645.03</v>
      </c>
      <c r="G159">
        <v>0.6</v>
      </c>
      <c r="H159">
        <v>0</v>
      </c>
      <c r="I159" s="1">
        <v>45833</v>
      </c>
      <c r="J159" t="s">
        <v>18</v>
      </c>
      <c r="K159" t="s">
        <v>16</v>
      </c>
      <c r="L159">
        <v>2724.92</v>
      </c>
    </row>
    <row r="160" spans="1:12">
      <c r="A160">
        <v>1158</v>
      </c>
      <c r="B160" t="s">
        <v>207</v>
      </c>
      <c r="C160" t="s">
        <v>38</v>
      </c>
      <c r="D160" t="s">
        <v>60</v>
      </c>
      <c r="E160">
        <v>2</v>
      </c>
      <c r="F160">
        <v>4516.08</v>
      </c>
      <c r="G160">
        <v>0.6</v>
      </c>
      <c r="H160">
        <v>0</v>
      </c>
      <c r="I160" s="1">
        <v>45844</v>
      </c>
      <c r="J160" t="s">
        <v>15</v>
      </c>
      <c r="K160" t="s">
        <v>23</v>
      </c>
      <c r="L160">
        <v>2164.9499999999998</v>
      </c>
    </row>
    <row r="161" spans="1:12">
      <c r="A161">
        <v>1159</v>
      </c>
      <c r="B161" t="s">
        <v>208</v>
      </c>
      <c r="C161" t="s">
        <v>25</v>
      </c>
      <c r="D161" t="s">
        <v>52</v>
      </c>
      <c r="E161">
        <v>2</v>
      </c>
      <c r="F161">
        <v>3335.18</v>
      </c>
      <c r="G161">
        <v>0.09</v>
      </c>
      <c r="H161">
        <v>0</v>
      </c>
      <c r="I161" s="1">
        <v>45826</v>
      </c>
      <c r="J161" t="s">
        <v>18</v>
      </c>
      <c r="K161" t="s">
        <v>16</v>
      </c>
      <c r="L161">
        <v>235.11</v>
      </c>
    </row>
    <row r="162" spans="1:12">
      <c r="A162">
        <v>1160</v>
      </c>
      <c r="B162" t="s">
        <v>209</v>
      </c>
      <c r="C162" t="s">
        <v>38</v>
      </c>
      <c r="D162" t="s">
        <v>39</v>
      </c>
      <c r="E162">
        <v>0</v>
      </c>
      <c r="F162">
        <v>2747.5450000000001</v>
      </c>
      <c r="G162">
        <v>0.77</v>
      </c>
      <c r="H162">
        <v>0</v>
      </c>
      <c r="I162" s="1">
        <v>45607</v>
      </c>
      <c r="J162" t="s">
        <v>31</v>
      </c>
      <c r="K162" t="s">
        <v>16</v>
      </c>
      <c r="L162">
        <v>-711.19</v>
      </c>
    </row>
    <row r="163" spans="1:12">
      <c r="A163">
        <v>1161</v>
      </c>
      <c r="B163" t="s">
        <v>210</v>
      </c>
      <c r="C163" t="s">
        <v>33</v>
      </c>
      <c r="D163" t="s">
        <v>69</v>
      </c>
      <c r="E163">
        <v>2</v>
      </c>
      <c r="F163">
        <v>1801.91</v>
      </c>
      <c r="G163">
        <v>0.6</v>
      </c>
      <c r="H163">
        <v>0</v>
      </c>
      <c r="I163" s="1">
        <v>45352</v>
      </c>
      <c r="J163" t="s">
        <v>22</v>
      </c>
      <c r="K163" t="s">
        <v>16</v>
      </c>
      <c r="L163">
        <v>502.86</v>
      </c>
    </row>
    <row r="164" spans="1:12">
      <c r="A164">
        <v>1162</v>
      </c>
      <c r="B164" t="s">
        <v>211</v>
      </c>
      <c r="C164" t="s">
        <v>25</v>
      </c>
      <c r="D164" t="s">
        <v>83</v>
      </c>
      <c r="E164">
        <v>4</v>
      </c>
      <c r="F164">
        <v>2747.5450000000001</v>
      </c>
      <c r="G164">
        <v>0.14000000000000001</v>
      </c>
      <c r="H164">
        <v>0</v>
      </c>
      <c r="I164" s="1">
        <v>45621</v>
      </c>
      <c r="J164" t="s">
        <v>22</v>
      </c>
      <c r="K164" t="s">
        <v>16</v>
      </c>
      <c r="L164">
        <v>2566.0500000000002</v>
      </c>
    </row>
    <row r="165" spans="1:12">
      <c r="A165">
        <v>1163</v>
      </c>
      <c r="B165" t="s">
        <v>212</v>
      </c>
      <c r="C165" t="s">
        <v>29</v>
      </c>
      <c r="D165" t="s">
        <v>41</v>
      </c>
      <c r="E165">
        <v>2</v>
      </c>
      <c r="F165">
        <v>1033.58</v>
      </c>
      <c r="G165">
        <v>0.68</v>
      </c>
      <c r="H165">
        <v>0</v>
      </c>
      <c r="I165" s="1">
        <v>45666</v>
      </c>
      <c r="J165" t="s">
        <v>27</v>
      </c>
      <c r="K165" t="s">
        <v>16</v>
      </c>
      <c r="L165">
        <v>-441.46</v>
      </c>
    </row>
    <row r="166" spans="1:12">
      <c r="A166">
        <v>1164</v>
      </c>
      <c r="B166" t="s">
        <v>213</v>
      </c>
      <c r="C166" t="s">
        <v>29</v>
      </c>
      <c r="D166" t="s">
        <v>41</v>
      </c>
      <c r="E166">
        <v>5</v>
      </c>
      <c r="F166">
        <v>2747.5450000000001</v>
      </c>
      <c r="G166">
        <v>0.6</v>
      </c>
      <c r="H166">
        <v>0</v>
      </c>
      <c r="I166" s="1">
        <v>45826</v>
      </c>
      <c r="J166" t="s">
        <v>31</v>
      </c>
      <c r="K166" t="s">
        <v>23</v>
      </c>
      <c r="L166">
        <v>598.79</v>
      </c>
    </row>
    <row r="167" spans="1:12">
      <c r="A167">
        <v>1165</v>
      </c>
      <c r="B167" t="s">
        <v>214</v>
      </c>
      <c r="C167" t="s">
        <v>33</v>
      </c>
      <c r="D167" t="s">
        <v>69</v>
      </c>
      <c r="E167">
        <v>2</v>
      </c>
      <c r="F167">
        <v>2747.5450000000001</v>
      </c>
      <c r="G167">
        <v>0.08</v>
      </c>
      <c r="H167">
        <v>0</v>
      </c>
      <c r="I167" s="1">
        <v>45569</v>
      </c>
      <c r="J167" t="s">
        <v>27</v>
      </c>
      <c r="K167" t="s">
        <v>23</v>
      </c>
      <c r="L167">
        <v>-102.32</v>
      </c>
    </row>
    <row r="168" spans="1:12">
      <c r="A168">
        <v>1166</v>
      </c>
      <c r="B168" t="s">
        <v>215</v>
      </c>
      <c r="C168" t="s">
        <v>20</v>
      </c>
      <c r="D168" t="s">
        <v>77</v>
      </c>
      <c r="E168">
        <v>2</v>
      </c>
      <c r="F168">
        <v>2747.5450000000001</v>
      </c>
      <c r="G168">
        <v>0.91</v>
      </c>
      <c r="H168">
        <v>0</v>
      </c>
      <c r="I168" s="1">
        <v>45165</v>
      </c>
      <c r="J168" t="s">
        <v>18</v>
      </c>
      <c r="K168" t="s">
        <v>16</v>
      </c>
      <c r="L168">
        <v>285.44</v>
      </c>
    </row>
    <row r="169" spans="1:12">
      <c r="A169">
        <v>1167</v>
      </c>
      <c r="B169" t="s">
        <v>216</v>
      </c>
      <c r="C169" t="s">
        <v>33</v>
      </c>
      <c r="D169" t="s">
        <v>43</v>
      </c>
      <c r="E169">
        <v>0</v>
      </c>
      <c r="F169">
        <v>4595.8999999999996</v>
      </c>
      <c r="G169">
        <v>0.09</v>
      </c>
      <c r="H169">
        <v>0</v>
      </c>
      <c r="I169" s="1">
        <v>45791</v>
      </c>
      <c r="J169" t="s">
        <v>27</v>
      </c>
      <c r="K169" t="s">
        <v>16</v>
      </c>
      <c r="L169">
        <v>-653.79999999999995</v>
      </c>
    </row>
    <row r="170" spans="1:12">
      <c r="A170">
        <v>1168</v>
      </c>
      <c r="B170" t="s">
        <v>217</v>
      </c>
      <c r="C170" t="s">
        <v>29</v>
      </c>
      <c r="D170" t="s">
        <v>41</v>
      </c>
      <c r="E170">
        <v>0</v>
      </c>
      <c r="F170">
        <v>3655.71</v>
      </c>
      <c r="G170">
        <v>0.48</v>
      </c>
      <c r="H170">
        <v>0</v>
      </c>
      <c r="I170" s="1">
        <v>45609</v>
      </c>
      <c r="J170" t="s">
        <v>31</v>
      </c>
      <c r="K170" t="s">
        <v>16</v>
      </c>
      <c r="L170">
        <v>2024.15</v>
      </c>
    </row>
    <row r="171" spans="1:12">
      <c r="A171">
        <v>1169</v>
      </c>
      <c r="B171" t="s">
        <v>218</v>
      </c>
      <c r="C171" t="s">
        <v>33</v>
      </c>
      <c r="D171" t="s">
        <v>69</v>
      </c>
      <c r="E171">
        <v>-1</v>
      </c>
      <c r="F171">
        <v>2948.26</v>
      </c>
      <c r="G171">
        <v>0.9</v>
      </c>
      <c r="H171">
        <v>-294.83</v>
      </c>
      <c r="I171" s="1">
        <v>45826</v>
      </c>
      <c r="J171" t="s">
        <v>45</v>
      </c>
      <c r="K171" t="s">
        <v>16</v>
      </c>
      <c r="L171">
        <v>1285.1500000000001</v>
      </c>
    </row>
    <row r="172" spans="1:12">
      <c r="A172">
        <v>1170</v>
      </c>
      <c r="B172" t="s">
        <v>219</v>
      </c>
      <c r="C172" t="s">
        <v>13</v>
      </c>
      <c r="D172" t="s">
        <v>48</v>
      </c>
      <c r="E172">
        <v>0</v>
      </c>
      <c r="F172">
        <v>2747.5450000000001</v>
      </c>
      <c r="G172">
        <v>0.76</v>
      </c>
      <c r="H172">
        <v>0</v>
      </c>
      <c r="I172" s="1">
        <v>45826</v>
      </c>
      <c r="J172" t="s">
        <v>15</v>
      </c>
      <c r="K172" t="s">
        <v>16</v>
      </c>
      <c r="L172">
        <v>-528.70000000000005</v>
      </c>
    </row>
    <row r="173" spans="1:12">
      <c r="A173">
        <v>1171</v>
      </c>
      <c r="B173" t="s">
        <v>220</v>
      </c>
      <c r="C173" t="s">
        <v>13</v>
      </c>
      <c r="D173" t="s">
        <v>48</v>
      </c>
      <c r="E173">
        <v>1</v>
      </c>
      <c r="F173">
        <v>2747.5450000000001</v>
      </c>
      <c r="G173">
        <v>0.6</v>
      </c>
      <c r="H173">
        <v>0</v>
      </c>
      <c r="I173" s="1">
        <v>45824</v>
      </c>
      <c r="J173" t="s">
        <v>45</v>
      </c>
      <c r="K173" t="s">
        <v>23</v>
      </c>
      <c r="L173">
        <v>2475.83</v>
      </c>
    </row>
    <row r="174" spans="1:12">
      <c r="A174">
        <v>1172</v>
      </c>
      <c r="B174" t="s">
        <v>221</v>
      </c>
      <c r="C174" t="s">
        <v>20</v>
      </c>
      <c r="D174" t="s">
        <v>21</v>
      </c>
      <c r="E174">
        <v>-2</v>
      </c>
      <c r="F174">
        <v>2719.32</v>
      </c>
      <c r="G174">
        <v>0.6</v>
      </c>
      <c r="H174">
        <v>0</v>
      </c>
      <c r="I174" s="1">
        <v>45779</v>
      </c>
      <c r="J174" t="s">
        <v>31</v>
      </c>
      <c r="K174" t="s">
        <v>16</v>
      </c>
      <c r="L174">
        <v>655.1</v>
      </c>
    </row>
    <row r="175" spans="1:12">
      <c r="A175">
        <v>1173</v>
      </c>
      <c r="B175" t="s">
        <v>222</v>
      </c>
      <c r="C175" t="s">
        <v>13</v>
      </c>
      <c r="D175" t="s">
        <v>36</v>
      </c>
      <c r="E175">
        <v>2</v>
      </c>
      <c r="F175">
        <v>4063.39</v>
      </c>
      <c r="G175">
        <v>0.6</v>
      </c>
      <c r="H175">
        <v>0</v>
      </c>
      <c r="I175" s="1">
        <v>45826</v>
      </c>
      <c r="J175" t="s">
        <v>27</v>
      </c>
      <c r="K175" t="s">
        <v>16</v>
      </c>
      <c r="L175">
        <v>2034.39</v>
      </c>
    </row>
    <row r="176" spans="1:12">
      <c r="A176">
        <v>1174</v>
      </c>
      <c r="B176" t="s">
        <v>223</v>
      </c>
      <c r="C176" t="s">
        <v>20</v>
      </c>
      <c r="D176" t="s">
        <v>119</v>
      </c>
      <c r="E176">
        <v>6</v>
      </c>
      <c r="F176">
        <v>4984.6499999999996</v>
      </c>
      <c r="G176">
        <v>0.42</v>
      </c>
      <c r="H176">
        <v>17346.580000000002</v>
      </c>
      <c r="I176" s="1">
        <v>45649</v>
      </c>
      <c r="J176" t="s">
        <v>27</v>
      </c>
      <c r="K176" t="s">
        <v>16</v>
      </c>
      <c r="L176">
        <v>2931.32</v>
      </c>
    </row>
    <row r="177" spans="1:12">
      <c r="A177">
        <v>1175</v>
      </c>
      <c r="B177" t="s">
        <v>224</v>
      </c>
      <c r="C177" t="s">
        <v>38</v>
      </c>
      <c r="D177" t="s">
        <v>39</v>
      </c>
      <c r="E177">
        <v>3</v>
      </c>
      <c r="F177">
        <v>2747.5450000000001</v>
      </c>
      <c r="G177">
        <v>0.6</v>
      </c>
      <c r="H177">
        <v>0</v>
      </c>
      <c r="I177" s="1">
        <v>45566</v>
      </c>
      <c r="J177" t="s">
        <v>18</v>
      </c>
      <c r="K177" t="s">
        <v>16</v>
      </c>
      <c r="L177">
        <v>728.61</v>
      </c>
    </row>
    <row r="178" spans="1:12">
      <c r="A178">
        <v>1176</v>
      </c>
      <c r="B178" t="s">
        <v>225</v>
      </c>
      <c r="C178" t="s">
        <v>13</v>
      </c>
      <c r="D178" t="s">
        <v>36</v>
      </c>
      <c r="E178">
        <v>6</v>
      </c>
      <c r="F178">
        <v>2747.5450000000001</v>
      </c>
      <c r="G178">
        <v>0.87</v>
      </c>
      <c r="H178">
        <v>0</v>
      </c>
      <c r="I178" s="1">
        <v>45826</v>
      </c>
      <c r="J178" t="s">
        <v>22</v>
      </c>
      <c r="K178" t="s">
        <v>23</v>
      </c>
      <c r="L178">
        <v>-879.15</v>
      </c>
    </row>
    <row r="179" spans="1:12">
      <c r="A179">
        <v>1177</v>
      </c>
      <c r="B179" t="s">
        <v>226</v>
      </c>
      <c r="C179" t="s">
        <v>13</v>
      </c>
      <c r="D179" t="s">
        <v>48</v>
      </c>
      <c r="E179">
        <v>2</v>
      </c>
      <c r="F179">
        <v>2426.13</v>
      </c>
      <c r="G179">
        <v>0.6</v>
      </c>
      <c r="H179">
        <v>0</v>
      </c>
      <c r="I179" s="1">
        <v>45746</v>
      </c>
      <c r="J179" t="s">
        <v>18</v>
      </c>
      <c r="K179" t="s">
        <v>16</v>
      </c>
      <c r="L179">
        <v>353.91</v>
      </c>
    </row>
    <row r="180" spans="1:12">
      <c r="A180">
        <v>1178</v>
      </c>
      <c r="B180" t="s">
        <v>227</v>
      </c>
      <c r="C180" t="s">
        <v>33</v>
      </c>
      <c r="D180" t="s">
        <v>34</v>
      </c>
      <c r="E180">
        <v>4</v>
      </c>
      <c r="F180">
        <v>1204.5899999999999</v>
      </c>
      <c r="G180">
        <v>0.6</v>
      </c>
      <c r="H180">
        <v>0</v>
      </c>
      <c r="I180" s="1">
        <v>45826</v>
      </c>
      <c r="J180" t="s">
        <v>31</v>
      </c>
      <c r="K180" t="s">
        <v>16</v>
      </c>
      <c r="L180">
        <v>2161.64</v>
      </c>
    </row>
    <row r="181" spans="1:12">
      <c r="A181">
        <v>1179</v>
      </c>
      <c r="B181" t="s">
        <v>228</v>
      </c>
      <c r="C181" t="s">
        <v>20</v>
      </c>
      <c r="D181" t="s">
        <v>77</v>
      </c>
      <c r="E181">
        <v>0</v>
      </c>
      <c r="F181">
        <v>2747.5450000000001</v>
      </c>
      <c r="G181">
        <v>0.6</v>
      </c>
      <c r="H181">
        <v>0</v>
      </c>
      <c r="I181" s="1">
        <v>45751</v>
      </c>
      <c r="J181" t="s">
        <v>22</v>
      </c>
      <c r="K181" t="s">
        <v>16</v>
      </c>
      <c r="L181">
        <v>510.53</v>
      </c>
    </row>
    <row r="182" spans="1:12">
      <c r="A182">
        <v>1180</v>
      </c>
      <c r="B182" t="s">
        <v>229</v>
      </c>
      <c r="C182" t="s">
        <v>38</v>
      </c>
      <c r="D182" t="s">
        <v>88</v>
      </c>
      <c r="E182">
        <v>6</v>
      </c>
      <c r="F182">
        <v>2495.96</v>
      </c>
      <c r="G182">
        <v>0.6</v>
      </c>
      <c r="H182">
        <v>0</v>
      </c>
      <c r="I182" s="1">
        <v>45826</v>
      </c>
      <c r="J182" t="s">
        <v>31</v>
      </c>
      <c r="K182" t="s">
        <v>16</v>
      </c>
      <c r="L182">
        <v>835.4</v>
      </c>
    </row>
    <row r="183" spans="1:12">
      <c r="A183">
        <v>1181</v>
      </c>
      <c r="B183" t="s">
        <v>230</v>
      </c>
      <c r="C183" t="s">
        <v>20</v>
      </c>
      <c r="D183" t="s">
        <v>77</v>
      </c>
      <c r="E183">
        <v>2</v>
      </c>
      <c r="F183">
        <v>2747.5450000000001</v>
      </c>
      <c r="G183">
        <v>0.6</v>
      </c>
      <c r="H183">
        <v>0</v>
      </c>
      <c r="I183" s="1">
        <v>45732</v>
      </c>
      <c r="J183" t="s">
        <v>22</v>
      </c>
      <c r="K183" t="s">
        <v>23</v>
      </c>
      <c r="L183">
        <v>2564.06</v>
      </c>
    </row>
    <row r="184" spans="1:12">
      <c r="A184">
        <v>1182</v>
      </c>
      <c r="B184" t="s">
        <v>231</v>
      </c>
      <c r="C184" t="s">
        <v>13</v>
      </c>
      <c r="D184" t="s">
        <v>14</v>
      </c>
      <c r="E184">
        <v>-1</v>
      </c>
      <c r="F184">
        <v>2747.5450000000001</v>
      </c>
      <c r="G184">
        <v>0.6</v>
      </c>
      <c r="H184">
        <v>0</v>
      </c>
      <c r="I184" s="1">
        <v>45510</v>
      </c>
      <c r="J184" t="s">
        <v>45</v>
      </c>
      <c r="K184" t="s">
        <v>16</v>
      </c>
      <c r="L184">
        <v>-747.25</v>
      </c>
    </row>
    <row r="185" spans="1:12">
      <c r="A185">
        <v>1183</v>
      </c>
      <c r="B185" t="s">
        <v>232</v>
      </c>
      <c r="C185" t="s">
        <v>29</v>
      </c>
      <c r="D185" t="s">
        <v>117</v>
      </c>
      <c r="E185">
        <v>6</v>
      </c>
      <c r="F185">
        <v>2372.3000000000002</v>
      </c>
      <c r="G185">
        <v>0.6</v>
      </c>
      <c r="H185">
        <v>0</v>
      </c>
      <c r="I185" s="1">
        <v>45378</v>
      </c>
      <c r="J185" t="s">
        <v>15</v>
      </c>
      <c r="K185" t="s">
        <v>16</v>
      </c>
      <c r="L185">
        <v>1888.87</v>
      </c>
    </row>
    <row r="186" spans="1:12">
      <c r="A186">
        <v>1184</v>
      </c>
      <c r="B186" t="s">
        <v>233</v>
      </c>
      <c r="C186" t="s">
        <v>13</v>
      </c>
      <c r="D186" t="s">
        <v>99</v>
      </c>
      <c r="E186">
        <v>0</v>
      </c>
      <c r="F186">
        <v>2697.1</v>
      </c>
      <c r="G186">
        <v>0.6</v>
      </c>
      <c r="H186">
        <v>0</v>
      </c>
      <c r="I186" s="1">
        <v>45829</v>
      </c>
      <c r="J186" t="s">
        <v>15</v>
      </c>
      <c r="K186" t="s">
        <v>23</v>
      </c>
      <c r="L186">
        <v>1518.99</v>
      </c>
    </row>
    <row r="187" spans="1:12">
      <c r="A187">
        <v>1185</v>
      </c>
      <c r="B187" t="s">
        <v>234</v>
      </c>
      <c r="C187" t="s">
        <v>29</v>
      </c>
      <c r="D187" t="s">
        <v>30</v>
      </c>
      <c r="E187">
        <v>2</v>
      </c>
      <c r="F187">
        <v>2747.5450000000001</v>
      </c>
      <c r="G187">
        <v>0.6</v>
      </c>
      <c r="H187">
        <v>0</v>
      </c>
      <c r="I187" s="1">
        <v>45791</v>
      </c>
      <c r="J187" t="s">
        <v>15</v>
      </c>
      <c r="K187" t="s">
        <v>16</v>
      </c>
      <c r="L187">
        <v>-445.19</v>
      </c>
    </row>
    <row r="188" spans="1:12">
      <c r="A188">
        <v>1186</v>
      </c>
      <c r="B188" t="s">
        <v>235</v>
      </c>
      <c r="C188" t="s">
        <v>13</v>
      </c>
      <c r="D188" t="s">
        <v>36</v>
      </c>
      <c r="E188">
        <v>6</v>
      </c>
      <c r="F188">
        <v>2747.5450000000001</v>
      </c>
      <c r="G188">
        <v>0.71</v>
      </c>
      <c r="H188">
        <v>0</v>
      </c>
      <c r="I188" s="1">
        <v>45820</v>
      </c>
      <c r="J188" t="s">
        <v>27</v>
      </c>
      <c r="K188" t="s">
        <v>23</v>
      </c>
      <c r="L188">
        <v>-40.479999999999997</v>
      </c>
    </row>
    <row r="189" spans="1:12">
      <c r="A189">
        <v>1187</v>
      </c>
      <c r="B189" t="s">
        <v>236</v>
      </c>
      <c r="C189" t="s">
        <v>29</v>
      </c>
      <c r="D189" t="s">
        <v>30</v>
      </c>
      <c r="E189">
        <v>3</v>
      </c>
      <c r="F189">
        <v>3810.89</v>
      </c>
      <c r="G189">
        <v>0.6</v>
      </c>
      <c r="H189">
        <v>0</v>
      </c>
      <c r="I189" s="1">
        <v>45826</v>
      </c>
      <c r="J189" t="s">
        <v>22</v>
      </c>
      <c r="K189" t="s">
        <v>16</v>
      </c>
      <c r="L189">
        <v>1153.72</v>
      </c>
    </row>
    <row r="190" spans="1:12">
      <c r="A190">
        <v>1188</v>
      </c>
      <c r="B190" t="s">
        <v>237</v>
      </c>
      <c r="C190" t="s">
        <v>29</v>
      </c>
      <c r="D190" t="s">
        <v>30</v>
      </c>
      <c r="E190">
        <v>6</v>
      </c>
      <c r="F190">
        <v>4910.28</v>
      </c>
      <c r="G190">
        <v>0.12</v>
      </c>
      <c r="H190">
        <v>25926.28</v>
      </c>
      <c r="I190" s="1">
        <v>45531</v>
      </c>
      <c r="J190" t="s">
        <v>27</v>
      </c>
      <c r="K190" t="s">
        <v>16</v>
      </c>
      <c r="L190">
        <v>2089.25</v>
      </c>
    </row>
    <row r="191" spans="1:12">
      <c r="A191">
        <v>1189</v>
      </c>
      <c r="B191" t="s">
        <v>238</v>
      </c>
      <c r="C191" t="s">
        <v>33</v>
      </c>
      <c r="D191" t="s">
        <v>43</v>
      </c>
      <c r="E191">
        <v>2</v>
      </c>
      <c r="F191">
        <v>4808.1000000000004</v>
      </c>
      <c r="G191">
        <v>0.6</v>
      </c>
      <c r="H191">
        <v>0</v>
      </c>
      <c r="I191" s="1">
        <v>45685</v>
      </c>
      <c r="J191" t="s">
        <v>18</v>
      </c>
      <c r="K191" t="s">
        <v>16</v>
      </c>
      <c r="L191">
        <v>392.87</v>
      </c>
    </row>
    <row r="192" spans="1:12">
      <c r="A192">
        <v>1190</v>
      </c>
      <c r="B192" t="s">
        <v>239</v>
      </c>
      <c r="C192" t="s">
        <v>20</v>
      </c>
      <c r="D192" t="s">
        <v>21</v>
      </c>
      <c r="E192">
        <v>2</v>
      </c>
      <c r="F192">
        <v>2747.5450000000001</v>
      </c>
      <c r="G192">
        <v>0.63</v>
      </c>
      <c r="H192">
        <v>0</v>
      </c>
      <c r="I192" s="1">
        <v>45804</v>
      </c>
      <c r="J192" t="s">
        <v>45</v>
      </c>
      <c r="K192" t="s">
        <v>23</v>
      </c>
      <c r="L192">
        <v>75.040000000000006</v>
      </c>
    </row>
    <row r="193" spans="1:12">
      <c r="A193">
        <v>1191</v>
      </c>
      <c r="B193" t="s">
        <v>240</v>
      </c>
      <c r="C193" t="s">
        <v>29</v>
      </c>
      <c r="D193" t="s">
        <v>30</v>
      </c>
      <c r="E193">
        <v>2</v>
      </c>
      <c r="F193">
        <v>2469.87</v>
      </c>
      <c r="G193">
        <v>0.56000000000000005</v>
      </c>
      <c r="H193">
        <v>0</v>
      </c>
      <c r="I193" s="1">
        <v>45826</v>
      </c>
      <c r="J193" t="s">
        <v>22</v>
      </c>
      <c r="K193" t="s">
        <v>16</v>
      </c>
      <c r="L193">
        <v>2860.2</v>
      </c>
    </row>
    <row r="194" spans="1:12">
      <c r="A194">
        <v>1010</v>
      </c>
      <c r="B194" t="s">
        <v>241</v>
      </c>
      <c r="C194" t="s">
        <v>33</v>
      </c>
      <c r="D194" t="s">
        <v>34</v>
      </c>
      <c r="E194">
        <v>0</v>
      </c>
      <c r="F194">
        <v>2747.5450000000001</v>
      </c>
      <c r="G194">
        <v>0.6</v>
      </c>
      <c r="H194">
        <v>0</v>
      </c>
      <c r="I194" s="1">
        <v>45826</v>
      </c>
      <c r="J194" t="s">
        <v>31</v>
      </c>
      <c r="K194" t="s">
        <v>16</v>
      </c>
      <c r="L194">
        <v>2709.47</v>
      </c>
    </row>
    <row r="195" spans="1:12">
      <c r="A195">
        <v>1193</v>
      </c>
      <c r="B195" t="s">
        <v>242</v>
      </c>
      <c r="C195" t="s">
        <v>38</v>
      </c>
      <c r="D195" t="s">
        <v>39</v>
      </c>
      <c r="E195">
        <v>2</v>
      </c>
      <c r="F195">
        <v>3031.06</v>
      </c>
      <c r="G195">
        <v>0.6</v>
      </c>
      <c r="H195">
        <v>0</v>
      </c>
      <c r="I195" s="1">
        <v>45512</v>
      </c>
      <c r="J195" t="s">
        <v>45</v>
      </c>
      <c r="K195" t="s">
        <v>23</v>
      </c>
      <c r="L195">
        <v>-682.74</v>
      </c>
    </row>
    <row r="196" spans="1:12">
      <c r="A196">
        <v>1032</v>
      </c>
      <c r="B196" t="s">
        <v>243</v>
      </c>
      <c r="C196" t="s">
        <v>29</v>
      </c>
      <c r="D196" t="s">
        <v>41</v>
      </c>
      <c r="E196">
        <v>2</v>
      </c>
      <c r="F196">
        <v>2747.5450000000001</v>
      </c>
      <c r="G196">
        <v>0.6</v>
      </c>
      <c r="H196">
        <v>0</v>
      </c>
      <c r="I196" s="1">
        <v>45847</v>
      </c>
      <c r="J196" t="s">
        <v>18</v>
      </c>
      <c r="K196" t="s">
        <v>16</v>
      </c>
      <c r="L196">
        <v>1941.65</v>
      </c>
    </row>
    <row r="197" spans="1:12">
      <c r="A197">
        <v>1195</v>
      </c>
      <c r="B197" t="s">
        <v>244</v>
      </c>
      <c r="C197" t="s">
        <v>38</v>
      </c>
      <c r="D197" t="s">
        <v>60</v>
      </c>
      <c r="E197">
        <v>2</v>
      </c>
      <c r="F197">
        <v>2747.5450000000001</v>
      </c>
      <c r="G197">
        <v>1.2</v>
      </c>
      <c r="H197">
        <v>0</v>
      </c>
      <c r="I197" s="1">
        <v>45826</v>
      </c>
      <c r="J197" t="s">
        <v>22</v>
      </c>
      <c r="K197" t="s">
        <v>16</v>
      </c>
      <c r="L197">
        <v>1059.17</v>
      </c>
    </row>
    <row r="198" spans="1:12">
      <c r="A198">
        <v>1196</v>
      </c>
      <c r="B198" t="s">
        <v>245</v>
      </c>
      <c r="C198" t="s">
        <v>13</v>
      </c>
      <c r="D198" t="s">
        <v>14</v>
      </c>
      <c r="E198">
        <v>2</v>
      </c>
      <c r="F198">
        <v>3959.06</v>
      </c>
      <c r="G198">
        <v>0.37</v>
      </c>
      <c r="H198">
        <v>0</v>
      </c>
      <c r="I198" s="1">
        <v>45791</v>
      </c>
      <c r="J198" t="s">
        <v>31</v>
      </c>
      <c r="K198" t="s">
        <v>23</v>
      </c>
      <c r="L198">
        <v>1539.5</v>
      </c>
    </row>
    <row r="199" spans="1:12">
      <c r="A199">
        <v>1197</v>
      </c>
      <c r="B199" t="s">
        <v>246</v>
      </c>
      <c r="C199" t="s">
        <v>20</v>
      </c>
      <c r="D199" t="s">
        <v>85</v>
      </c>
      <c r="E199">
        <v>1</v>
      </c>
      <c r="F199">
        <v>2747.5450000000001</v>
      </c>
      <c r="G199">
        <v>0.6</v>
      </c>
      <c r="H199">
        <v>0</v>
      </c>
      <c r="I199" s="1">
        <v>45826</v>
      </c>
      <c r="J199" t="s">
        <v>31</v>
      </c>
      <c r="K199" t="s">
        <v>23</v>
      </c>
      <c r="L199">
        <v>650.97</v>
      </c>
    </row>
    <row r="200" spans="1:12">
      <c r="A200">
        <v>1198</v>
      </c>
      <c r="B200" t="s">
        <v>247</v>
      </c>
      <c r="C200" t="s">
        <v>29</v>
      </c>
      <c r="D200" t="s">
        <v>41</v>
      </c>
      <c r="E200">
        <v>3</v>
      </c>
      <c r="F200">
        <v>3594.97</v>
      </c>
      <c r="G200">
        <v>0.6</v>
      </c>
      <c r="H200">
        <v>0</v>
      </c>
      <c r="I200" s="1">
        <v>45764</v>
      </c>
      <c r="J200" t="s">
        <v>15</v>
      </c>
      <c r="K200" t="s">
        <v>16</v>
      </c>
      <c r="L200">
        <v>2422.27</v>
      </c>
    </row>
    <row r="201" spans="1:12">
      <c r="A201">
        <v>1199</v>
      </c>
      <c r="B201" t="s">
        <v>248</v>
      </c>
      <c r="C201" t="s">
        <v>25</v>
      </c>
      <c r="D201" t="s">
        <v>83</v>
      </c>
      <c r="E201">
        <v>2</v>
      </c>
      <c r="F201">
        <v>2317.1</v>
      </c>
      <c r="G201">
        <v>0.6</v>
      </c>
      <c r="H201">
        <v>0</v>
      </c>
      <c r="I201" s="1">
        <v>45690</v>
      </c>
      <c r="J201" t="s">
        <v>27</v>
      </c>
      <c r="K201" t="s">
        <v>16</v>
      </c>
      <c r="L201">
        <v>2637.77</v>
      </c>
    </row>
    <row r="202" spans="1:12">
      <c r="A202">
        <v>1200</v>
      </c>
      <c r="B202" t="s">
        <v>249</v>
      </c>
      <c r="C202" t="s">
        <v>25</v>
      </c>
      <c r="D202" t="s">
        <v>52</v>
      </c>
      <c r="E202">
        <v>4</v>
      </c>
      <c r="F202">
        <v>2747.5450000000001</v>
      </c>
      <c r="G202">
        <v>0.6</v>
      </c>
      <c r="H202">
        <v>0</v>
      </c>
      <c r="I202" s="1">
        <v>45826</v>
      </c>
      <c r="J202" t="s">
        <v>31</v>
      </c>
      <c r="K202" t="s">
        <v>16</v>
      </c>
      <c r="L202">
        <v>2782.21</v>
      </c>
    </row>
    <row r="203" spans="1:12">
      <c r="A203">
        <v>1201</v>
      </c>
      <c r="B203" t="s">
        <v>250</v>
      </c>
      <c r="C203" t="s">
        <v>20</v>
      </c>
      <c r="D203" t="s">
        <v>77</v>
      </c>
      <c r="E203">
        <v>2</v>
      </c>
      <c r="F203">
        <v>3507.85</v>
      </c>
      <c r="G203">
        <v>0.6</v>
      </c>
      <c r="H203">
        <v>0</v>
      </c>
      <c r="I203" s="1">
        <v>45667</v>
      </c>
      <c r="J203" t="s">
        <v>45</v>
      </c>
      <c r="K203" t="s">
        <v>23</v>
      </c>
      <c r="L203">
        <v>1023.04</v>
      </c>
    </row>
    <row r="204" spans="1:12">
      <c r="A204">
        <v>1202</v>
      </c>
      <c r="B204" t="s">
        <v>251</v>
      </c>
      <c r="C204" t="s">
        <v>29</v>
      </c>
      <c r="D204" t="s">
        <v>41</v>
      </c>
      <c r="E204">
        <v>2</v>
      </c>
      <c r="F204">
        <v>2747.5450000000001</v>
      </c>
      <c r="G204">
        <v>0.6</v>
      </c>
      <c r="H204">
        <v>0</v>
      </c>
      <c r="I204" s="1">
        <v>45739</v>
      </c>
      <c r="J204" t="s">
        <v>27</v>
      </c>
      <c r="K204" t="s">
        <v>16</v>
      </c>
      <c r="L204">
        <v>-207.53</v>
      </c>
    </row>
    <row r="205" spans="1:12">
      <c r="A205">
        <v>1203</v>
      </c>
      <c r="B205" t="s">
        <v>252</v>
      </c>
      <c r="C205" t="s">
        <v>33</v>
      </c>
      <c r="D205" t="s">
        <v>34</v>
      </c>
      <c r="E205">
        <v>5</v>
      </c>
      <c r="F205">
        <v>2747.5450000000001</v>
      </c>
      <c r="G205">
        <v>0.6</v>
      </c>
      <c r="H205">
        <v>0</v>
      </c>
      <c r="I205" s="1">
        <v>45671</v>
      </c>
      <c r="J205" t="s">
        <v>31</v>
      </c>
      <c r="K205" t="s">
        <v>16</v>
      </c>
      <c r="L205">
        <v>657.59</v>
      </c>
    </row>
    <row r="206" spans="1:12">
      <c r="A206">
        <v>1204</v>
      </c>
      <c r="B206" t="s">
        <v>253</v>
      </c>
      <c r="C206" t="s">
        <v>25</v>
      </c>
      <c r="D206" t="s">
        <v>63</v>
      </c>
      <c r="E206">
        <v>2</v>
      </c>
      <c r="F206">
        <v>4213.3999999999996</v>
      </c>
      <c r="G206">
        <v>0.6</v>
      </c>
      <c r="H206">
        <v>0</v>
      </c>
      <c r="I206" s="1">
        <v>45608</v>
      </c>
      <c r="J206" t="s">
        <v>45</v>
      </c>
      <c r="K206" t="s">
        <v>23</v>
      </c>
      <c r="L206">
        <v>1867.53</v>
      </c>
    </row>
    <row r="207" spans="1:12">
      <c r="A207">
        <v>1205</v>
      </c>
      <c r="B207" t="s">
        <v>254</v>
      </c>
      <c r="C207" t="s">
        <v>13</v>
      </c>
      <c r="D207" t="s">
        <v>14</v>
      </c>
      <c r="E207">
        <v>2</v>
      </c>
      <c r="F207">
        <v>696.49</v>
      </c>
      <c r="G207">
        <v>0.6</v>
      </c>
      <c r="H207">
        <v>0</v>
      </c>
      <c r="I207" s="1">
        <v>45819</v>
      </c>
      <c r="J207" t="s">
        <v>15</v>
      </c>
      <c r="K207" t="s">
        <v>16</v>
      </c>
      <c r="L207">
        <v>-24.51</v>
      </c>
    </row>
    <row r="208" spans="1:12">
      <c r="A208">
        <v>1206</v>
      </c>
      <c r="B208" t="s">
        <v>255</v>
      </c>
      <c r="C208" t="s">
        <v>33</v>
      </c>
      <c r="D208" t="s">
        <v>69</v>
      </c>
      <c r="E208">
        <v>0</v>
      </c>
      <c r="F208">
        <v>2747.5450000000001</v>
      </c>
      <c r="G208">
        <v>0.6</v>
      </c>
      <c r="H208">
        <v>0</v>
      </c>
      <c r="I208" s="1">
        <v>45747</v>
      </c>
      <c r="J208" t="s">
        <v>31</v>
      </c>
      <c r="K208" t="s">
        <v>16</v>
      </c>
      <c r="L208">
        <v>2472.2399999999998</v>
      </c>
    </row>
    <row r="209" spans="1:12">
      <c r="A209">
        <v>1207</v>
      </c>
      <c r="B209" t="s">
        <v>256</v>
      </c>
      <c r="C209" t="s">
        <v>13</v>
      </c>
      <c r="D209" t="s">
        <v>48</v>
      </c>
      <c r="E209">
        <v>2</v>
      </c>
      <c r="F209">
        <v>563.14</v>
      </c>
      <c r="G209">
        <v>0.33</v>
      </c>
      <c r="H209">
        <v>0</v>
      </c>
      <c r="I209" s="1">
        <v>45433</v>
      </c>
      <c r="J209" t="s">
        <v>18</v>
      </c>
      <c r="K209" t="s">
        <v>23</v>
      </c>
      <c r="L209">
        <v>945.7</v>
      </c>
    </row>
    <row r="210" spans="1:12">
      <c r="A210">
        <v>1208</v>
      </c>
      <c r="B210" t="s">
        <v>257</v>
      </c>
      <c r="C210" t="s">
        <v>20</v>
      </c>
      <c r="D210" t="s">
        <v>85</v>
      </c>
      <c r="E210">
        <v>1</v>
      </c>
      <c r="F210">
        <v>2747.5450000000001</v>
      </c>
      <c r="G210">
        <v>0.6</v>
      </c>
      <c r="H210">
        <v>0</v>
      </c>
      <c r="I210" s="1">
        <v>45667</v>
      </c>
      <c r="J210" t="s">
        <v>22</v>
      </c>
      <c r="K210" t="s">
        <v>16</v>
      </c>
      <c r="L210">
        <v>648.73</v>
      </c>
    </row>
    <row r="211" spans="1:12">
      <c r="A211">
        <v>1209</v>
      </c>
      <c r="B211" t="s">
        <v>258</v>
      </c>
      <c r="C211" t="s">
        <v>29</v>
      </c>
      <c r="D211" t="s">
        <v>117</v>
      </c>
      <c r="E211">
        <v>2</v>
      </c>
      <c r="F211">
        <v>4029.87</v>
      </c>
      <c r="G211">
        <v>0.6</v>
      </c>
      <c r="H211">
        <v>0</v>
      </c>
      <c r="I211" s="1">
        <v>45666</v>
      </c>
      <c r="J211" t="s">
        <v>18</v>
      </c>
      <c r="K211" t="s">
        <v>16</v>
      </c>
      <c r="L211">
        <v>1447.79</v>
      </c>
    </row>
    <row r="212" spans="1:12">
      <c r="A212">
        <v>1210</v>
      </c>
      <c r="B212" t="s">
        <v>259</v>
      </c>
      <c r="C212" t="s">
        <v>29</v>
      </c>
      <c r="D212" t="s">
        <v>117</v>
      </c>
      <c r="E212">
        <v>4</v>
      </c>
      <c r="F212">
        <v>2747.5450000000001</v>
      </c>
      <c r="G212">
        <v>1.1599999999999999</v>
      </c>
      <c r="H212">
        <v>0</v>
      </c>
      <c r="I212" s="1">
        <v>45803</v>
      </c>
      <c r="J212" t="s">
        <v>15</v>
      </c>
      <c r="K212" t="s">
        <v>16</v>
      </c>
      <c r="L212">
        <v>2179.54</v>
      </c>
    </row>
    <row r="213" spans="1:12">
      <c r="A213">
        <v>1211</v>
      </c>
      <c r="B213" t="s">
        <v>260</v>
      </c>
      <c r="C213" t="s">
        <v>13</v>
      </c>
      <c r="D213" t="s">
        <v>99</v>
      </c>
      <c r="E213">
        <v>2</v>
      </c>
      <c r="F213">
        <v>1560.37</v>
      </c>
      <c r="G213">
        <v>0.6</v>
      </c>
      <c r="H213">
        <v>0</v>
      </c>
      <c r="I213" s="1">
        <v>45630</v>
      </c>
      <c r="J213" t="s">
        <v>18</v>
      </c>
      <c r="K213" t="s">
        <v>16</v>
      </c>
      <c r="L213">
        <v>2783.91</v>
      </c>
    </row>
    <row r="214" spans="1:12">
      <c r="A214">
        <v>1212</v>
      </c>
      <c r="B214" t="s">
        <v>261</v>
      </c>
      <c r="C214" t="s">
        <v>25</v>
      </c>
      <c r="D214" t="s">
        <v>63</v>
      </c>
      <c r="E214">
        <v>-1</v>
      </c>
      <c r="F214">
        <v>4098.12</v>
      </c>
      <c r="G214">
        <v>0.6</v>
      </c>
      <c r="H214">
        <v>0</v>
      </c>
      <c r="I214" s="1">
        <v>45582</v>
      </c>
      <c r="J214" t="s">
        <v>31</v>
      </c>
      <c r="K214" t="s">
        <v>16</v>
      </c>
      <c r="L214">
        <v>-656.35</v>
      </c>
    </row>
    <row r="215" spans="1:12">
      <c r="A215">
        <v>1213</v>
      </c>
      <c r="B215" t="s">
        <v>262</v>
      </c>
      <c r="C215" t="s">
        <v>33</v>
      </c>
      <c r="D215" t="s">
        <v>69</v>
      </c>
      <c r="E215">
        <v>2</v>
      </c>
      <c r="F215">
        <v>2747.5450000000001</v>
      </c>
      <c r="G215">
        <v>0.6</v>
      </c>
      <c r="H215">
        <v>0</v>
      </c>
      <c r="I215" s="1">
        <v>45684</v>
      </c>
      <c r="J215" t="s">
        <v>18</v>
      </c>
      <c r="K215" t="s">
        <v>16</v>
      </c>
      <c r="L215">
        <v>1093.98</v>
      </c>
    </row>
    <row r="216" spans="1:12">
      <c r="A216">
        <v>1214</v>
      </c>
      <c r="B216" t="s">
        <v>263</v>
      </c>
      <c r="C216" t="s">
        <v>20</v>
      </c>
      <c r="D216" t="s">
        <v>119</v>
      </c>
      <c r="E216">
        <v>4</v>
      </c>
      <c r="F216">
        <v>1273.5999999999999</v>
      </c>
      <c r="G216">
        <v>0.6</v>
      </c>
      <c r="H216">
        <v>0</v>
      </c>
      <c r="I216" s="1">
        <v>45826</v>
      </c>
      <c r="J216" t="s">
        <v>31</v>
      </c>
      <c r="K216" t="s">
        <v>16</v>
      </c>
      <c r="L216">
        <v>1851.89</v>
      </c>
    </row>
    <row r="217" spans="1:12">
      <c r="A217">
        <v>1215</v>
      </c>
      <c r="B217" t="s">
        <v>264</v>
      </c>
      <c r="C217" t="s">
        <v>33</v>
      </c>
      <c r="D217" t="s">
        <v>69</v>
      </c>
      <c r="E217">
        <v>6</v>
      </c>
      <c r="F217">
        <v>3802.27</v>
      </c>
      <c r="G217">
        <v>0.6</v>
      </c>
      <c r="H217">
        <v>0</v>
      </c>
      <c r="I217" s="1">
        <v>45826</v>
      </c>
      <c r="J217" t="s">
        <v>18</v>
      </c>
      <c r="K217" t="s">
        <v>16</v>
      </c>
      <c r="L217">
        <v>-266.99</v>
      </c>
    </row>
    <row r="218" spans="1:12">
      <c r="A218">
        <v>1216</v>
      </c>
      <c r="B218" t="s">
        <v>265</v>
      </c>
      <c r="C218" t="s">
        <v>33</v>
      </c>
      <c r="D218" t="s">
        <v>69</v>
      </c>
      <c r="E218">
        <v>6</v>
      </c>
      <c r="F218">
        <v>2747.5450000000001</v>
      </c>
      <c r="G218">
        <v>1.17</v>
      </c>
      <c r="H218">
        <v>0</v>
      </c>
      <c r="I218" s="1">
        <v>45495</v>
      </c>
      <c r="J218" t="s">
        <v>15</v>
      </c>
      <c r="K218" t="s">
        <v>23</v>
      </c>
      <c r="L218">
        <v>2986.8</v>
      </c>
    </row>
    <row r="219" spans="1:12">
      <c r="A219">
        <v>1217</v>
      </c>
      <c r="B219" t="s">
        <v>266</v>
      </c>
      <c r="C219" t="s">
        <v>20</v>
      </c>
      <c r="D219" t="s">
        <v>85</v>
      </c>
      <c r="E219">
        <v>3</v>
      </c>
      <c r="F219">
        <v>2850.38</v>
      </c>
      <c r="G219">
        <v>0.6</v>
      </c>
      <c r="H219">
        <v>0</v>
      </c>
      <c r="I219" s="1">
        <v>45826</v>
      </c>
      <c r="J219" t="s">
        <v>15</v>
      </c>
      <c r="K219" t="s">
        <v>16</v>
      </c>
      <c r="L219">
        <v>17.309999999999999</v>
      </c>
    </row>
    <row r="220" spans="1:12">
      <c r="A220">
        <v>1218</v>
      </c>
      <c r="B220" t="s">
        <v>267</v>
      </c>
      <c r="C220" t="s">
        <v>38</v>
      </c>
      <c r="D220" t="s">
        <v>60</v>
      </c>
      <c r="E220">
        <v>3</v>
      </c>
      <c r="F220">
        <v>1544.45</v>
      </c>
      <c r="G220">
        <v>0.33</v>
      </c>
      <c r="H220">
        <v>3104.34</v>
      </c>
      <c r="I220" s="1">
        <v>45747</v>
      </c>
      <c r="J220" t="s">
        <v>31</v>
      </c>
      <c r="K220" t="s">
        <v>23</v>
      </c>
      <c r="L220">
        <v>707.56</v>
      </c>
    </row>
    <row r="221" spans="1:12">
      <c r="A221">
        <v>1219</v>
      </c>
      <c r="B221" t="s">
        <v>268</v>
      </c>
      <c r="C221" t="s">
        <v>13</v>
      </c>
      <c r="D221" t="s">
        <v>48</v>
      </c>
      <c r="E221">
        <v>2</v>
      </c>
      <c r="F221">
        <v>2747.5450000000001</v>
      </c>
      <c r="G221">
        <v>0.6</v>
      </c>
      <c r="H221">
        <v>0</v>
      </c>
      <c r="I221" s="1">
        <v>45624</v>
      </c>
      <c r="J221" t="s">
        <v>27</v>
      </c>
      <c r="K221" t="s">
        <v>16</v>
      </c>
      <c r="L221">
        <v>2206</v>
      </c>
    </row>
    <row r="222" spans="1:12">
      <c r="A222">
        <v>1220</v>
      </c>
      <c r="B222" t="s">
        <v>269</v>
      </c>
      <c r="C222" t="s">
        <v>33</v>
      </c>
      <c r="D222" t="s">
        <v>43</v>
      </c>
      <c r="E222">
        <v>2</v>
      </c>
      <c r="F222">
        <v>2747.5450000000001</v>
      </c>
      <c r="G222">
        <v>0.6</v>
      </c>
      <c r="H222">
        <v>0</v>
      </c>
      <c r="I222" s="1">
        <v>45495</v>
      </c>
      <c r="J222" t="s">
        <v>27</v>
      </c>
      <c r="K222" t="s">
        <v>16</v>
      </c>
      <c r="L222">
        <v>1598.22</v>
      </c>
    </row>
    <row r="223" spans="1:12">
      <c r="A223">
        <v>1221</v>
      </c>
      <c r="B223" t="s">
        <v>270</v>
      </c>
      <c r="C223" t="s">
        <v>29</v>
      </c>
      <c r="D223" t="s">
        <v>30</v>
      </c>
      <c r="E223">
        <v>3</v>
      </c>
      <c r="F223">
        <v>2747.5450000000001</v>
      </c>
      <c r="G223">
        <v>0.6</v>
      </c>
      <c r="H223">
        <v>0</v>
      </c>
      <c r="I223" s="1">
        <v>45563</v>
      </c>
      <c r="J223" t="s">
        <v>22</v>
      </c>
      <c r="K223" t="s">
        <v>23</v>
      </c>
      <c r="L223">
        <v>898.67</v>
      </c>
    </row>
    <row r="224" spans="1:12">
      <c r="A224">
        <v>1222</v>
      </c>
      <c r="B224" t="s">
        <v>271</v>
      </c>
      <c r="C224" t="s">
        <v>33</v>
      </c>
      <c r="D224" t="s">
        <v>69</v>
      </c>
      <c r="E224">
        <v>2</v>
      </c>
      <c r="F224">
        <v>683.85</v>
      </c>
      <c r="G224">
        <v>0.6</v>
      </c>
      <c r="H224">
        <v>0</v>
      </c>
      <c r="I224" s="1">
        <v>45595</v>
      </c>
      <c r="J224" t="s">
        <v>45</v>
      </c>
      <c r="K224" t="s">
        <v>16</v>
      </c>
      <c r="L224">
        <v>1489.45</v>
      </c>
    </row>
    <row r="225" spans="1:12">
      <c r="A225">
        <v>1223</v>
      </c>
      <c r="B225" t="s">
        <v>272</v>
      </c>
      <c r="C225" t="s">
        <v>33</v>
      </c>
      <c r="D225" t="s">
        <v>34</v>
      </c>
      <c r="E225">
        <v>2</v>
      </c>
      <c r="F225">
        <v>2747.5450000000001</v>
      </c>
      <c r="G225">
        <v>0.6</v>
      </c>
      <c r="H225">
        <v>0</v>
      </c>
      <c r="I225" s="1">
        <v>45826</v>
      </c>
      <c r="J225" t="s">
        <v>31</v>
      </c>
      <c r="K225" t="s">
        <v>23</v>
      </c>
      <c r="L225">
        <v>-531.04999999999995</v>
      </c>
    </row>
    <row r="226" spans="1:12">
      <c r="A226">
        <v>1224</v>
      </c>
      <c r="B226" t="s">
        <v>273</v>
      </c>
      <c r="C226" t="s">
        <v>38</v>
      </c>
      <c r="D226" t="s">
        <v>60</v>
      </c>
      <c r="E226">
        <v>2</v>
      </c>
      <c r="F226">
        <v>2747.5450000000001</v>
      </c>
      <c r="G226">
        <v>0.6</v>
      </c>
      <c r="H226">
        <v>0</v>
      </c>
      <c r="I226" s="1">
        <v>45737</v>
      </c>
      <c r="J226" t="s">
        <v>18</v>
      </c>
      <c r="K226" t="s">
        <v>16</v>
      </c>
      <c r="L226">
        <v>2219.56</v>
      </c>
    </row>
    <row r="227" spans="1:12">
      <c r="A227">
        <v>1225</v>
      </c>
      <c r="B227" t="s">
        <v>274</v>
      </c>
      <c r="C227" t="s">
        <v>25</v>
      </c>
      <c r="D227" t="s">
        <v>26</v>
      </c>
      <c r="E227">
        <v>-1</v>
      </c>
      <c r="F227">
        <v>1406.32</v>
      </c>
      <c r="G227">
        <v>1.05</v>
      </c>
      <c r="H227">
        <v>70.319999999999993</v>
      </c>
      <c r="I227" s="1">
        <v>45851</v>
      </c>
      <c r="J227" t="s">
        <v>27</v>
      </c>
      <c r="K227" t="s">
        <v>16</v>
      </c>
      <c r="L227">
        <v>1937.71</v>
      </c>
    </row>
    <row r="228" spans="1:12">
      <c r="A228">
        <v>1226</v>
      </c>
      <c r="B228" t="s">
        <v>275</v>
      </c>
      <c r="C228" t="s">
        <v>38</v>
      </c>
      <c r="D228" t="s">
        <v>88</v>
      </c>
      <c r="E228">
        <v>1</v>
      </c>
      <c r="F228">
        <v>2747.5450000000001</v>
      </c>
      <c r="G228">
        <v>1.1499999999999999</v>
      </c>
      <c r="H228">
        <v>0</v>
      </c>
      <c r="I228" s="1">
        <v>45591</v>
      </c>
      <c r="J228" t="s">
        <v>18</v>
      </c>
      <c r="K228" t="s">
        <v>23</v>
      </c>
      <c r="L228">
        <v>2806.56</v>
      </c>
    </row>
    <row r="229" spans="1:12">
      <c r="A229">
        <v>1227</v>
      </c>
      <c r="B229" t="s">
        <v>276</v>
      </c>
      <c r="C229" t="s">
        <v>29</v>
      </c>
      <c r="D229" t="s">
        <v>41</v>
      </c>
      <c r="E229">
        <v>2</v>
      </c>
      <c r="F229">
        <v>2747.5450000000001</v>
      </c>
      <c r="G229">
        <v>0.25</v>
      </c>
      <c r="H229">
        <v>0</v>
      </c>
      <c r="I229" s="1">
        <v>45356</v>
      </c>
      <c r="J229" t="s">
        <v>31</v>
      </c>
      <c r="K229" t="s">
        <v>16</v>
      </c>
      <c r="L229">
        <v>2096.6799999999998</v>
      </c>
    </row>
    <row r="230" spans="1:12">
      <c r="A230">
        <v>1048</v>
      </c>
      <c r="B230" t="s">
        <v>277</v>
      </c>
      <c r="C230" t="s">
        <v>29</v>
      </c>
      <c r="D230" t="s">
        <v>138</v>
      </c>
      <c r="E230">
        <v>2</v>
      </c>
      <c r="F230">
        <v>2298.27</v>
      </c>
      <c r="G230">
        <v>0.59</v>
      </c>
      <c r="H230">
        <v>0</v>
      </c>
      <c r="I230" s="1">
        <v>45743</v>
      </c>
      <c r="J230" t="s">
        <v>45</v>
      </c>
      <c r="K230" t="s">
        <v>23</v>
      </c>
      <c r="L230">
        <v>2994.93</v>
      </c>
    </row>
    <row r="231" spans="1:12">
      <c r="A231">
        <v>1229</v>
      </c>
      <c r="B231" t="s">
        <v>278</v>
      </c>
      <c r="C231" t="s">
        <v>38</v>
      </c>
      <c r="D231" t="s">
        <v>88</v>
      </c>
      <c r="E231">
        <v>2</v>
      </c>
      <c r="F231">
        <v>2747.5450000000001</v>
      </c>
      <c r="G231">
        <v>0.6</v>
      </c>
      <c r="H231">
        <v>0</v>
      </c>
      <c r="I231" s="1">
        <v>45826</v>
      </c>
      <c r="J231" t="s">
        <v>15</v>
      </c>
      <c r="K231" t="s">
        <v>16</v>
      </c>
      <c r="L231">
        <v>925.22</v>
      </c>
    </row>
    <row r="232" spans="1:12">
      <c r="A232">
        <v>1230</v>
      </c>
      <c r="B232" t="s">
        <v>279</v>
      </c>
      <c r="C232" t="s">
        <v>29</v>
      </c>
      <c r="D232" t="s">
        <v>117</v>
      </c>
      <c r="E232">
        <v>3</v>
      </c>
      <c r="F232">
        <v>2747.5450000000001</v>
      </c>
      <c r="G232">
        <v>1.2</v>
      </c>
      <c r="H232">
        <v>0</v>
      </c>
      <c r="I232" s="1">
        <v>45826</v>
      </c>
      <c r="J232" t="s">
        <v>31</v>
      </c>
      <c r="K232" t="s">
        <v>16</v>
      </c>
      <c r="L232">
        <v>2725.11</v>
      </c>
    </row>
    <row r="233" spans="1:12">
      <c r="A233">
        <v>1231</v>
      </c>
      <c r="B233" t="s">
        <v>280</v>
      </c>
      <c r="C233" t="s">
        <v>25</v>
      </c>
      <c r="D233" t="s">
        <v>63</v>
      </c>
      <c r="E233">
        <v>1</v>
      </c>
      <c r="F233">
        <v>1744.73</v>
      </c>
      <c r="G233">
        <v>0.6</v>
      </c>
      <c r="H233">
        <v>0</v>
      </c>
      <c r="I233" s="1">
        <v>45826</v>
      </c>
      <c r="J233" t="s">
        <v>45</v>
      </c>
      <c r="K233" t="s">
        <v>23</v>
      </c>
      <c r="L233">
        <v>1393.69</v>
      </c>
    </row>
    <row r="234" spans="1:12">
      <c r="A234">
        <v>1232</v>
      </c>
      <c r="B234" t="s">
        <v>281</v>
      </c>
      <c r="C234" t="s">
        <v>25</v>
      </c>
      <c r="D234" t="s">
        <v>52</v>
      </c>
      <c r="E234">
        <v>2</v>
      </c>
      <c r="F234">
        <v>2526.77</v>
      </c>
      <c r="G234">
        <v>0.6</v>
      </c>
      <c r="H234">
        <v>0</v>
      </c>
      <c r="I234" s="1">
        <v>45183</v>
      </c>
      <c r="J234" t="s">
        <v>22</v>
      </c>
      <c r="K234" t="s">
        <v>16</v>
      </c>
      <c r="L234">
        <v>1494.67</v>
      </c>
    </row>
    <row r="235" spans="1:12">
      <c r="A235">
        <v>1233</v>
      </c>
      <c r="B235" t="s">
        <v>282</v>
      </c>
      <c r="C235" t="s">
        <v>20</v>
      </c>
      <c r="D235" t="s">
        <v>21</v>
      </c>
      <c r="E235">
        <v>-1</v>
      </c>
      <c r="F235">
        <v>2747.5450000000001</v>
      </c>
      <c r="G235">
        <v>7.0000000000000007E-2</v>
      </c>
      <c r="H235">
        <v>0</v>
      </c>
      <c r="I235" s="1">
        <v>45772</v>
      </c>
      <c r="J235" t="s">
        <v>27</v>
      </c>
      <c r="K235" t="s">
        <v>16</v>
      </c>
      <c r="L235">
        <v>2237.2399999999998</v>
      </c>
    </row>
    <row r="236" spans="1:12">
      <c r="A236">
        <v>1234</v>
      </c>
      <c r="B236" t="s">
        <v>283</v>
      </c>
      <c r="C236" t="s">
        <v>13</v>
      </c>
      <c r="D236" t="s">
        <v>48</v>
      </c>
      <c r="E236">
        <v>2</v>
      </c>
      <c r="F236">
        <v>1069.8800000000001</v>
      </c>
      <c r="G236">
        <v>0.05</v>
      </c>
      <c r="H236">
        <v>0</v>
      </c>
      <c r="I236" s="1">
        <v>45832</v>
      </c>
      <c r="J236" t="s">
        <v>45</v>
      </c>
      <c r="K236" t="s">
        <v>23</v>
      </c>
      <c r="L236">
        <v>110.58</v>
      </c>
    </row>
    <row r="237" spans="1:12">
      <c r="A237">
        <v>1235</v>
      </c>
      <c r="B237" t="s">
        <v>284</v>
      </c>
      <c r="C237" t="s">
        <v>20</v>
      </c>
      <c r="D237" t="s">
        <v>77</v>
      </c>
      <c r="E237">
        <v>2</v>
      </c>
      <c r="F237">
        <v>2747.5450000000001</v>
      </c>
      <c r="G237">
        <v>0.6</v>
      </c>
      <c r="H237">
        <v>0</v>
      </c>
      <c r="I237" s="1">
        <v>45826</v>
      </c>
      <c r="J237" t="s">
        <v>31</v>
      </c>
      <c r="K237" t="s">
        <v>23</v>
      </c>
      <c r="L237">
        <v>-403.94</v>
      </c>
    </row>
    <row r="238" spans="1:12">
      <c r="A238">
        <v>1036</v>
      </c>
      <c r="B238" t="s">
        <v>285</v>
      </c>
      <c r="C238" t="s">
        <v>33</v>
      </c>
      <c r="D238" t="s">
        <v>43</v>
      </c>
      <c r="E238">
        <v>2</v>
      </c>
      <c r="F238">
        <v>4802.42</v>
      </c>
      <c r="G238">
        <v>1.18</v>
      </c>
      <c r="H238">
        <v>-1728.87</v>
      </c>
      <c r="I238" s="1">
        <v>45765</v>
      </c>
      <c r="J238" t="s">
        <v>31</v>
      </c>
      <c r="K238" t="s">
        <v>16</v>
      </c>
      <c r="L238">
        <v>605.03</v>
      </c>
    </row>
    <row r="239" spans="1:12">
      <c r="A239">
        <v>1237</v>
      </c>
      <c r="B239" t="s">
        <v>286</v>
      </c>
      <c r="C239" t="s">
        <v>33</v>
      </c>
      <c r="D239" t="s">
        <v>69</v>
      </c>
      <c r="E239">
        <v>2</v>
      </c>
      <c r="F239">
        <v>2747.5450000000001</v>
      </c>
      <c r="G239">
        <v>0.28999999999999998</v>
      </c>
      <c r="H239">
        <v>0</v>
      </c>
      <c r="I239" s="1">
        <v>45817</v>
      </c>
      <c r="J239" t="s">
        <v>45</v>
      </c>
      <c r="K239" t="s">
        <v>16</v>
      </c>
      <c r="L239">
        <v>-465.98</v>
      </c>
    </row>
    <row r="240" spans="1:12">
      <c r="A240">
        <v>1238</v>
      </c>
      <c r="B240" t="s">
        <v>287</v>
      </c>
      <c r="C240" t="s">
        <v>25</v>
      </c>
      <c r="D240" t="s">
        <v>63</v>
      </c>
      <c r="E240">
        <v>2</v>
      </c>
      <c r="F240">
        <v>2747.5450000000001</v>
      </c>
      <c r="G240">
        <v>0.6</v>
      </c>
      <c r="H240">
        <v>0</v>
      </c>
      <c r="I240" s="1">
        <v>45826</v>
      </c>
      <c r="J240" t="s">
        <v>45</v>
      </c>
      <c r="K240" t="s">
        <v>16</v>
      </c>
      <c r="L240">
        <v>2742.61</v>
      </c>
    </row>
    <row r="241" spans="1:12">
      <c r="A241">
        <v>1239</v>
      </c>
      <c r="B241" t="s">
        <v>288</v>
      </c>
      <c r="C241" t="s">
        <v>33</v>
      </c>
      <c r="D241" t="s">
        <v>79</v>
      </c>
      <c r="E241">
        <v>4</v>
      </c>
      <c r="F241">
        <v>644.58000000000004</v>
      </c>
      <c r="G241">
        <v>0.6</v>
      </c>
      <c r="H241">
        <v>0</v>
      </c>
      <c r="I241" s="1">
        <v>45585</v>
      </c>
      <c r="J241" t="s">
        <v>15</v>
      </c>
      <c r="K241" t="s">
        <v>23</v>
      </c>
      <c r="L241">
        <v>1097.8800000000001</v>
      </c>
    </row>
    <row r="242" spans="1:12">
      <c r="A242">
        <v>1240</v>
      </c>
      <c r="B242" t="s">
        <v>289</v>
      </c>
      <c r="C242" t="s">
        <v>38</v>
      </c>
      <c r="D242" t="s">
        <v>39</v>
      </c>
      <c r="E242">
        <v>2</v>
      </c>
      <c r="F242">
        <v>4634.13</v>
      </c>
      <c r="G242">
        <v>0.6</v>
      </c>
      <c r="H242">
        <v>0</v>
      </c>
      <c r="I242" s="1">
        <v>45136</v>
      </c>
      <c r="J242" t="s">
        <v>27</v>
      </c>
      <c r="K242" t="s">
        <v>16</v>
      </c>
      <c r="L242">
        <v>2625.44</v>
      </c>
    </row>
    <row r="243" spans="1:12">
      <c r="A243">
        <v>1241</v>
      </c>
      <c r="B243" t="s">
        <v>290</v>
      </c>
      <c r="C243" t="s">
        <v>13</v>
      </c>
      <c r="D243" t="s">
        <v>14</v>
      </c>
      <c r="E243">
        <v>6</v>
      </c>
      <c r="F243">
        <v>3111.95</v>
      </c>
      <c r="G243">
        <v>0.6</v>
      </c>
      <c r="H243">
        <v>0</v>
      </c>
      <c r="I243" s="1">
        <v>45465</v>
      </c>
      <c r="J243" t="s">
        <v>27</v>
      </c>
      <c r="K243" t="s">
        <v>16</v>
      </c>
      <c r="L243">
        <v>2814.82</v>
      </c>
    </row>
    <row r="244" spans="1:12">
      <c r="A244">
        <v>1242</v>
      </c>
      <c r="B244" t="s">
        <v>291</v>
      </c>
      <c r="C244" t="s">
        <v>13</v>
      </c>
      <c r="D244" t="s">
        <v>99</v>
      </c>
      <c r="E244">
        <v>-1</v>
      </c>
      <c r="F244">
        <v>2747.5450000000001</v>
      </c>
      <c r="G244">
        <v>0.6</v>
      </c>
      <c r="H244">
        <v>0</v>
      </c>
      <c r="I244" s="1">
        <v>45706</v>
      </c>
      <c r="J244" t="s">
        <v>45</v>
      </c>
      <c r="K244" t="s">
        <v>23</v>
      </c>
      <c r="L244">
        <v>1576.74</v>
      </c>
    </row>
    <row r="245" spans="1:12">
      <c r="A245">
        <v>1243</v>
      </c>
      <c r="B245" t="s">
        <v>292</v>
      </c>
      <c r="C245" t="s">
        <v>29</v>
      </c>
      <c r="D245" t="s">
        <v>138</v>
      </c>
      <c r="E245">
        <v>3</v>
      </c>
      <c r="F245">
        <v>2747.5450000000001</v>
      </c>
      <c r="G245">
        <v>0.69</v>
      </c>
      <c r="H245">
        <v>0</v>
      </c>
      <c r="I245" s="1">
        <v>45628</v>
      </c>
      <c r="J245" t="s">
        <v>18</v>
      </c>
      <c r="K245" t="s">
        <v>16</v>
      </c>
      <c r="L245">
        <v>779.51</v>
      </c>
    </row>
    <row r="246" spans="1:12">
      <c r="A246">
        <v>1244</v>
      </c>
      <c r="B246" t="s">
        <v>293</v>
      </c>
      <c r="C246" t="s">
        <v>38</v>
      </c>
      <c r="D246" t="s">
        <v>56</v>
      </c>
      <c r="E246">
        <v>6</v>
      </c>
      <c r="F246">
        <v>2747.5450000000001</v>
      </c>
      <c r="G246">
        <v>0.6</v>
      </c>
      <c r="H246">
        <v>0</v>
      </c>
      <c r="I246" s="1">
        <v>45472</v>
      </c>
      <c r="J246" t="s">
        <v>18</v>
      </c>
      <c r="K246" t="s">
        <v>16</v>
      </c>
      <c r="L246">
        <v>2574.7600000000002</v>
      </c>
    </row>
    <row r="247" spans="1:12">
      <c r="A247">
        <v>1245</v>
      </c>
      <c r="B247" t="s">
        <v>294</v>
      </c>
      <c r="C247" t="s">
        <v>33</v>
      </c>
      <c r="D247" t="s">
        <v>69</v>
      </c>
      <c r="E247">
        <v>2</v>
      </c>
      <c r="F247">
        <v>1822.9</v>
      </c>
      <c r="G247">
        <v>0.6</v>
      </c>
      <c r="H247">
        <v>0</v>
      </c>
      <c r="I247" s="1">
        <v>45639</v>
      </c>
      <c r="J247" t="s">
        <v>15</v>
      </c>
      <c r="K247" t="s">
        <v>16</v>
      </c>
      <c r="L247">
        <v>1076.3399999999999</v>
      </c>
    </row>
    <row r="248" spans="1:12">
      <c r="A248">
        <v>1246</v>
      </c>
      <c r="B248" t="s">
        <v>295</v>
      </c>
      <c r="C248" t="s">
        <v>38</v>
      </c>
      <c r="D248" t="s">
        <v>56</v>
      </c>
      <c r="E248">
        <v>0</v>
      </c>
      <c r="F248">
        <v>2747.5450000000001</v>
      </c>
      <c r="G248">
        <v>0.03</v>
      </c>
      <c r="H248">
        <v>0</v>
      </c>
      <c r="I248" s="1">
        <v>45826</v>
      </c>
      <c r="J248" t="s">
        <v>31</v>
      </c>
      <c r="K248" t="s">
        <v>16</v>
      </c>
      <c r="L248">
        <v>733.8</v>
      </c>
    </row>
    <row r="249" spans="1:12">
      <c r="A249">
        <v>1247</v>
      </c>
      <c r="B249" t="s">
        <v>296</v>
      </c>
      <c r="C249" t="s">
        <v>33</v>
      </c>
      <c r="D249" t="s">
        <v>34</v>
      </c>
      <c r="E249">
        <v>-1</v>
      </c>
      <c r="F249">
        <v>2747.5450000000001</v>
      </c>
      <c r="G249">
        <v>0.6</v>
      </c>
      <c r="H249">
        <v>0</v>
      </c>
      <c r="I249" s="1">
        <v>45826</v>
      </c>
      <c r="J249" t="s">
        <v>31</v>
      </c>
      <c r="K249" t="s">
        <v>23</v>
      </c>
      <c r="L249">
        <v>1605.97</v>
      </c>
    </row>
    <row r="250" spans="1:12">
      <c r="A250">
        <v>1248</v>
      </c>
      <c r="B250" t="s">
        <v>297</v>
      </c>
      <c r="C250" t="s">
        <v>29</v>
      </c>
      <c r="D250" t="s">
        <v>117</v>
      </c>
      <c r="E250">
        <v>2</v>
      </c>
      <c r="F250">
        <v>2747.5450000000001</v>
      </c>
      <c r="G250">
        <v>1.24</v>
      </c>
      <c r="H250">
        <v>0</v>
      </c>
      <c r="I250" s="1">
        <v>45130</v>
      </c>
      <c r="J250" t="s">
        <v>22</v>
      </c>
      <c r="K250" t="s">
        <v>23</v>
      </c>
      <c r="L250">
        <v>397.41</v>
      </c>
    </row>
    <row r="251" spans="1:12">
      <c r="A251">
        <v>1249</v>
      </c>
      <c r="B251" t="s">
        <v>298</v>
      </c>
      <c r="C251" t="s">
        <v>29</v>
      </c>
      <c r="D251" t="s">
        <v>138</v>
      </c>
      <c r="E251">
        <v>2</v>
      </c>
      <c r="F251">
        <v>2747.5450000000001</v>
      </c>
      <c r="G251">
        <v>0.23</v>
      </c>
      <c r="H251">
        <v>0</v>
      </c>
      <c r="I251" s="1">
        <v>45545</v>
      </c>
      <c r="J251" t="s">
        <v>45</v>
      </c>
      <c r="K251" t="s">
        <v>16</v>
      </c>
      <c r="L251">
        <v>809.89</v>
      </c>
    </row>
    <row r="252" spans="1:12">
      <c r="A252">
        <v>1250</v>
      </c>
      <c r="B252" t="s">
        <v>299</v>
      </c>
      <c r="C252" t="s">
        <v>25</v>
      </c>
      <c r="D252" t="s">
        <v>63</v>
      </c>
      <c r="E252">
        <v>2</v>
      </c>
      <c r="F252">
        <v>2747.5450000000001</v>
      </c>
      <c r="G252">
        <v>0.6</v>
      </c>
      <c r="H252">
        <v>0</v>
      </c>
      <c r="I252" s="1">
        <v>45826</v>
      </c>
      <c r="J252" t="s">
        <v>15</v>
      </c>
      <c r="K252" t="s">
        <v>23</v>
      </c>
      <c r="L252">
        <v>1653.07</v>
      </c>
    </row>
    <row r="253" spans="1:12">
      <c r="A253">
        <v>1251</v>
      </c>
      <c r="B253" t="s">
        <v>300</v>
      </c>
      <c r="C253" t="s">
        <v>38</v>
      </c>
      <c r="D253" t="s">
        <v>39</v>
      </c>
      <c r="E253">
        <v>2</v>
      </c>
      <c r="F253">
        <v>4841.3999999999996</v>
      </c>
      <c r="G253">
        <v>0.6</v>
      </c>
      <c r="H253">
        <v>3873.12</v>
      </c>
      <c r="I253" s="1">
        <v>45692</v>
      </c>
      <c r="J253" t="s">
        <v>45</v>
      </c>
      <c r="K253" t="s">
        <v>16</v>
      </c>
      <c r="L253">
        <v>578.37</v>
      </c>
    </row>
    <row r="254" spans="1:12">
      <c r="A254">
        <v>1252</v>
      </c>
      <c r="B254" t="s">
        <v>301</v>
      </c>
      <c r="C254" t="s">
        <v>33</v>
      </c>
      <c r="D254" t="s">
        <v>69</v>
      </c>
      <c r="E254">
        <v>6</v>
      </c>
      <c r="F254">
        <v>1638.51</v>
      </c>
      <c r="G254">
        <v>0.88</v>
      </c>
      <c r="H254">
        <v>1179.73</v>
      </c>
      <c r="I254" s="1">
        <v>45749</v>
      </c>
      <c r="J254" t="s">
        <v>22</v>
      </c>
      <c r="K254" t="s">
        <v>16</v>
      </c>
      <c r="L254">
        <v>1484.7</v>
      </c>
    </row>
    <row r="255" spans="1:12">
      <c r="A255">
        <v>1253</v>
      </c>
      <c r="B255" t="s">
        <v>302</v>
      </c>
      <c r="C255" t="s">
        <v>38</v>
      </c>
      <c r="D255" t="s">
        <v>60</v>
      </c>
      <c r="E255">
        <v>2</v>
      </c>
      <c r="F255">
        <v>2747.5450000000001</v>
      </c>
      <c r="G255">
        <v>0.6</v>
      </c>
      <c r="H255">
        <v>0</v>
      </c>
      <c r="I255" s="1">
        <v>45692</v>
      </c>
      <c r="J255" t="s">
        <v>27</v>
      </c>
      <c r="K255" t="s">
        <v>23</v>
      </c>
      <c r="L255">
        <v>2512.63</v>
      </c>
    </row>
    <row r="256" spans="1:12">
      <c r="A256">
        <v>1254</v>
      </c>
      <c r="B256" t="s">
        <v>303</v>
      </c>
      <c r="C256" t="s">
        <v>25</v>
      </c>
      <c r="D256" t="s">
        <v>63</v>
      </c>
      <c r="E256">
        <v>6</v>
      </c>
      <c r="F256">
        <v>2747.5450000000001</v>
      </c>
      <c r="G256">
        <v>0.6</v>
      </c>
      <c r="H256">
        <v>0</v>
      </c>
      <c r="I256" s="1">
        <v>45702</v>
      </c>
      <c r="J256" t="s">
        <v>22</v>
      </c>
      <c r="K256" t="s">
        <v>23</v>
      </c>
      <c r="L256">
        <v>2418.9899999999998</v>
      </c>
    </row>
    <row r="257" spans="1:12">
      <c r="A257">
        <v>1255</v>
      </c>
      <c r="B257" t="s">
        <v>304</v>
      </c>
      <c r="C257" t="s">
        <v>33</v>
      </c>
      <c r="D257" t="s">
        <v>69</v>
      </c>
      <c r="E257">
        <v>4</v>
      </c>
      <c r="F257">
        <v>1849.68</v>
      </c>
      <c r="G257">
        <v>0.6</v>
      </c>
      <c r="H257">
        <v>0</v>
      </c>
      <c r="I257" s="1">
        <v>45632</v>
      </c>
      <c r="J257" t="s">
        <v>31</v>
      </c>
      <c r="K257" t="s">
        <v>16</v>
      </c>
      <c r="L257">
        <v>-706.09</v>
      </c>
    </row>
    <row r="258" spans="1:12">
      <c r="A258">
        <v>1256</v>
      </c>
      <c r="B258" t="s">
        <v>305</v>
      </c>
      <c r="C258" t="s">
        <v>20</v>
      </c>
      <c r="D258" t="s">
        <v>77</v>
      </c>
      <c r="E258">
        <v>2</v>
      </c>
      <c r="F258">
        <v>1801.38</v>
      </c>
      <c r="G258">
        <v>0.6</v>
      </c>
      <c r="H258">
        <v>0</v>
      </c>
      <c r="I258" s="1">
        <v>45614</v>
      </c>
      <c r="J258" t="s">
        <v>27</v>
      </c>
      <c r="K258" t="s">
        <v>16</v>
      </c>
      <c r="L258">
        <v>2071.1</v>
      </c>
    </row>
    <row r="259" spans="1:12">
      <c r="A259">
        <v>1257</v>
      </c>
      <c r="B259" t="s">
        <v>306</v>
      </c>
      <c r="C259" t="s">
        <v>13</v>
      </c>
      <c r="D259" t="s">
        <v>48</v>
      </c>
      <c r="E259">
        <v>2</v>
      </c>
      <c r="F259">
        <v>1228.78</v>
      </c>
      <c r="G259">
        <v>0.6</v>
      </c>
      <c r="H259">
        <v>0</v>
      </c>
      <c r="I259" s="1">
        <v>45826</v>
      </c>
      <c r="J259" t="s">
        <v>18</v>
      </c>
      <c r="K259" t="s">
        <v>16</v>
      </c>
      <c r="L259">
        <v>-83.19</v>
      </c>
    </row>
    <row r="260" spans="1:12">
      <c r="A260">
        <v>1258</v>
      </c>
      <c r="B260" t="s">
        <v>307</v>
      </c>
      <c r="C260" t="s">
        <v>38</v>
      </c>
      <c r="D260" t="s">
        <v>88</v>
      </c>
      <c r="E260">
        <v>-2</v>
      </c>
      <c r="F260">
        <v>4313.38</v>
      </c>
      <c r="G260">
        <v>0.6</v>
      </c>
      <c r="H260">
        <v>0</v>
      </c>
      <c r="I260" s="1">
        <v>45728</v>
      </c>
      <c r="J260" t="s">
        <v>15</v>
      </c>
      <c r="K260" t="s">
        <v>16</v>
      </c>
      <c r="L260">
        <v>2636.96</v>
      </c>
    </row>
    <row r="261" spans="1:12">
      <c r="A261">
        <v>1259</v>
      </c>
      <c r="B261" t="s">
        <v>308</v>
      </c>
      <c r="C261" t="s">
        <v>25</v>
      </c>
      <c r="D261" t="s">
        <v>83</v>
      </c>
      <c r="E261">
        <v>-2</v>
      </c>
      <c r="F261">
        <v>3396.92</v>
      </c>
      <c r="G261">
        <v>0.6</v>
      </c>
      <c r="H261">
        <v>0</v>
      </c>
      <c r="I261" s="1">
        <v>45782</v>
      </c>
      <c r="J261" t="s">
        <v>18</v>
      </c>
      <c r="K261" t="s">
        <v>16</v>
      </c>
      <c r="L261">
        <v>-830.5</v>
      </c>
    </row>
    <row r="262" spans="1:12">
      <c r="A262">
        <v>1260</v>
      </c>
      <c r="B262" t="s">
        <v>309</v>
      </c>
      <c r="C262" t="s">
        <v>38</v>
      </c>
      <c r="D262" t="s">
        <v>56</v>
      </c>
      <c r="E262">
        <v>2</v>
      </c>
      <c r="F262">
        <v>2747.5450000000001</v>
      </c>
      <c r="G262">
        <v>0.6</v>
      </c>
      <c r="H262">
        <v>0</v>
      </c>
      <c r="I262" s="1">
        <v>45741</v>
      </c>
      <c r="J262" t="s">
        <v>15</v>
      </c>
      <c r="K262" t="s">
        <v>23</v>
      </c>
      <c r="L262">
        <v>-817.8</v>
      </c>
    </row>
    <row r="263" spans="1:12">
      <c r="A263">
        <v>1012</v>
      </c>
      <c r="B263" t="s">
        <v>310</v>
      </c>
      <c r="C263" t="s">
        <v>13</v>
      </c>
      <c r="D263" t="s">
        <v>36</v>
      </c>
      <c r="E263">
        <v>2</v>
      </c>
      <c r="F263">
        <v>4129.37</v>
      </c>
      <c r="G263">
        <v>0.6</v>
      </c>
      <c r="H263">
        <v>0</v>
      </c>
      <c r="I263" s="1">
        <v>45858</v>
      </c>
      <c r="J263" t="s">
        <v>15</v>
      </c>
      <c r="K263" t="s">
        <v>23</v>
      </c>
      <c r="L263">
        <v>2328.1</v>
      </c>
    </row>
    <row r="264" spans="1:12">
      <c r="A264">
        <v>1262</v>
      </c>
      <c r="B264" t="s">
        <v>311</v>
      </c>
      <c r="C264" t="s">
        <v>29</v>
      </c>
      <c r="D264" t="s">
        <v>117</v>
      </c>
      <c r="E264">
        <v>2</v>
      </c>
      <c r="F264">
        <v>2747.5450000000001</v>
      </c>
      <c r="G264">
        <v>0.52</v>
      </c>
      <c r="H264">
        <v>0</v>
      </c>
      <c r="I264" s="1">
        <v>45598</v>
      </c>
      <c r="J264" t="s">
        <v>27</v>
      </c>
      <c r="K264" t="s">
        <v>23</v>
      </c>
      <c r="L264">
        <v>786.25</v>
      </c>
    </row>
    <row r="265" spans="1:12">
      <c r="A265">
        <v>1263</v>
      </c>
      <c r="B265" t="s">
        <v>312</v>
      </c>
      <c r="C265" t="s">
        <v>25</v>
      </c>
      <c r="D265" t="s">
        <v>63</v>
      </c>
      <c r="E265">
        <v>2</v>
      </c>
      <c r="F265">
        <v>2542.7199999999998</v>
      </c>
      <c r="G265">
        <v>0.6</v>
      </c>
      <c r="H265">
        <v>0</v>
      </c>
      <c r="I265" s="1">
        <v>45826</v>
      </c>
      <c r="J265" t="s">
        <v>15</v>
      </c>
      <c r="K265" t="s">
        <v>16</v>
      </c>
      <c r="L265">
        <v>-136.41</v>
      </c>
    </row>
    <row r="266" spans="1:12">
      <c r="A266">
        <v>1264</v>
      </c>
      <c r="B266" t="s">
        <v>313</v>
      </c>
      <c r="C266" t="s">
        <v>33</v>
      </c>
      <c r="D266" t="s">
        <v>79</v>
      </c>
      <c r="E266">
        <v>2</v>
      </c>
      <c r="F266">
        <v>3382.08</v>
      </c>
      <c r="G266">
        <v>0.6</v>
      </c>
      <c r="H266">
        <v>0</v>
      </c>
      <c r="I266" s="1">
        <v>45592</v>
      </c>
      <c r="J266" t="s">
        <v>15</v>
      </c>
      <c r="K266" t="s">
        <v>16</v>
      </c>
      <c r="L266">
        <v>1647.48</v>
      </c>
    </row>
    <row r="267" spans="1:12">
      <c r="A267">
        <v>1265</v>
      </c>
      <c r="B267" t="s">
        <v>314</v>
      </c>
      <c r="C267" t="s">
        <v>33</v>
      </c>
      <c r="D267" t="s">
        <v>79</v>
      </c>
      <c r="E267">
        <v>0</v>
      </c>
      <c r="F267">
        <v>721.41</v>
      </c>
      <c r="G267">
        <v>1.1599999999999999</v>
      </c>
      <c r="H267">
        <v>0</v>
      </c>
      <c r="I267" s="1">
        <v>45740</v>
      </c>
      <c r="J267" t="s">
        <v>31</v>
      </c>
      <c r="K267" t="s">
        <v>16</v>
      </c>
      <c r="L267">
        <v>1718.95</v>
      </c>
    </row>
    <row r="268" spans="1:12">
      <c r="A268">
        <v>1266</v>
      </c>
      <c r="B268" t="s">
        <v>315</v>
      </c>
      <c r="C268" t="s">
        <v>25</v>
      </c>
      <c r="D268" t="s">
        <v>63</v>
      </c>
      <c r="E268">
        <v>2</v>
      </c>
      <c r="F268">
        <v>2747.5450000000001</v>
      </c>
      <c r="G268">
        <v>1.1200000000000001</v>
      </c>
      <c r="H268">
        <v>0</v>
      </c>
      <c r="I268" s="1">
        <v>45224</v>
      </c>
      <c r="J268" t="s">
        <v>15</v>
      </c>
      <c r="K268" t="s">
        <v>16</v>
      </c>
      <c r="L268">
        <v>1024.8599999999999</v>
      </c>
    </row>
    <row r="269" spans="1:12">
      <c r="A269">
        <v>1267</v>
      </c>
      <c r="B269" t="s">
        <v>316</v>
      </c>
      <c r="C269" t="s">
        <v>20</v>
      </c>
      <c r="D269" t="s">
        <v>77</v>
      </c>
      <c r="E269">
        <v>3</v>
      </c>
      <c r="F269">
        <v>3255.23</v>
      </c>
      <c r="G269">
        <v>0.6</v>
      </c>
      <c r="H269">
        <v>0</v>
      </c>
      <c r="I269" s="1">
        <v>45246</v>
      </c>
      <c r="J269" t="s">
        <v>15</v>
      </c>
      <c r="K269" t="s">
        <v>23</v>
      </c>
      <c r="L269">
        <v>650.79999999999995</v>
      </c>
    </row>
    <row r="270" spans="1:12">
      <c r="A270">
        <v>1268</v>
      </c>
      <c r="B270" t="s">
        <v>317</v>
      </c>
      <c r="C270" t="s">
        <v>20</v>
      </c>
      <c r="D270" t="s">
        <v>85</v>
      </c>
      <c r="E270">
        <v>1</v>
      </c>
      <c r="F270">
        <v>2747.5450000000001</v>
      </c>
      <c r="G270">
        <v>1.03</v>
      </c>
      <c r="H270">
        <v>0</v>
      </c>
      <c r="I270" s="1">
        <v>45826</v>
      </c>
      <c r="J270" t="s">
        <v>45</v>
      </c>
      <c r="K270" t="s">
        <v>16</v>
      </c>
      <c r="L270">
        <v>2668.22</v>
      </c>
    </row>
    <row r="271" spans="1:12">
      <c r="A271">
        <v>1269</v>
      </c>
      <c r="B271" t="s">
        <v>318</v>
      </c>
      <c r="C271" t="s">
        <v>33</v>
      </c>
      <c r="D271" t="s">
        <v>79</v>
      </c>
      <c r="E271">
        <v>2</v>
      </c>
      <c r="F271">
        <v>2747.5450000000001</v>
      </c>
      <c r="G271">
        <v>0.6</v>
      </c>
      <c r="H271">
        <v>0</v>
      </c>
      <c r="I271" s="1">
        <v>45826</v>
      </c>
      <c r="J271" t="s">
        <v>22</v>
      </c>
      <c r="K271" t="s">
        <v>16</v>
      </c>
      <c r="L271">
        <v>483.01</v>
      </c>
    </row>
    <row r="272" spans="1:12">
      <c r="A272">
        <v>1270</v>
      </c>
      <c r="B272" t="s">
        <v>319</v>
      </c>
      <c r="C272" t="s">
        <v>33</v>
      </c>
      <c r="D272" t="s">
        <v>79</v>
      </c>
      <c r="E272">
        <v>0</v>
      </c>
      <c r="F272">
        <v>4446.82</v>
      </c>
      <c r="G272">
        <v>0.6</v>
      </c>
      <c r="H272">
        <v>0</v>
      </c>
      <c r="I272" s="1">
        <v>45837</v>
      </c>
      <c r="J272" t="s">
        <v>31</v>
      </c>
      <c r="K272" t="s">
        <v>23</v>
      </c>
      <c r="L272">
        <v>-293.05</v>
      </c>
    </row>
    <row r="273" spans="1:12">
      <c r="A273">
        <v>1271</v>
      </c>
      <c r="B273" t="s">
        <v>320</v>
      </c>
      <c r="C273" t="s">
        <v>33</v>
      </c>
      <c r="D273" t="s">
        <v>43</v>
      </c>
      <c r="E273">
        <v>2</v>
      </c>
      <c r="F273">
        <v>2747.5450000000001</v>
      </c>
      <c r="G273">
        <v>0.6</v>
      </c>
      <c r="H273">
        <v>0</v>
      </c>
      <c r="I273" s="1">
        <v>45425</v>
      </c>
      <c r="J273" t="s">
        <v>27</v>
      </c>
      <c r="K273" t="s">
        <v>23</v>
      </c>
      <c r="L273">
        <v>1295.93</v>
      </c>
    </row>
    <row r="274" spans="1:12">
      <c r="A274">
        <v>1272</v>
      </c>
      <c r="B274" t="s">
        <v>321</v>
      </c>
      <c r="C274" t="s">
        <v>29</v>
      </c>
      <c r="D274" t="s">
        <v>30</v>
      </c>
      <c r="E274">
        <v>2</v>
      </c>
      <c r="F274">
        <v>1429.94</v>
      </c>
      <c r="G274">
        <v>0.6</v>
      </c>
      <c r="H274">
        <v>0</v>
      </c>
      <c r="I274" s="1">
        <v>45272</v>
      </c>
      <c r="J274" t="s">
        <v>31</v>
      </c>
      <c r="K274" t="s">
        <v>23</v>
      </c>
      <c r="L274">
        <v>484.51</v>
      </c>
    </row>
    <row r="275" spans="1:12">
      <c r="A275">
        <v>1273</v>
      </c>
      <c r="B275" t="s">
        <v>322</v>
      </c>
      <c r="C275" t="s">
        <v>33</v>
      </c>
      <c r="D275" t="s">
        <v>43</v>
      </c>
      <c r="E275">
        <v>2</v>
      </c>
      <c r="F275">
        <v>2747.5450000000001</v>
      </c>
      <c r="G275">
        <v>0.6</v>
      </c>
      <c r="H275">
        <v>0</v>
      </c>
      <c r="I275" s="1">
        <v>45659</v>
      </c>
      <c r="J275" t="s">
        <v>31</v>
      </c>
      <c r="K275" t="s">
        <v>16</v>
      </c>
      <c r="L275">
        <v>-431.92</v>
      </c>
    </row>
    <row r="276" spans="1:12">
      <c r="A276">
        <v>1274</v>
      </c>
      <c r="B276" t="s">
        <v>323</v>
      </c>
      <c r="C276" t="s">
        <v>38</v>
      </c>
      <c r="D276" t="s">
        <v>60</v>
      </c>
      <c r="E276">
        <v>2</v>
      </c>
      <c r="F276">
        <v>2747.5450000000001</v>
      </c>
      <c r="G276">
        <v>0.59</v>
      </c>
      <c r="H276">
        <v>0</v>
      </c>
      <c r="I276" s="1">
        <v>45826</v>
      </c>
      <c r="J276" t="s">
        <v>18</v>
      </c>
      <c r="K276" t="s">
        <v>23</v>
      </c>
      <c r="L276">
        <v>62.98</v>
      </c>
    </row>
    <row r="277" spans="1:12">
      <c r="A277">
        <v>1275</v>
      </c>
      <c r="B277" t="s">
        <v>324</v>
      </c>
      <c r="C277" t="s">
        <v>38</v>
      </c>
      <c r="D277" t="s">
        <v>39</v>
      </c>
      <c r="E277">
        <v>3</v>
      </c>
      <c r="F277">
        <v>4132</v>
      </c>
      <c r="G277">
        <v>0.6</v>
      </c>
      <c r="H277">
        <v>0</v>
      </c>
      <c r="I277" s="1">
        <v>45348</v>
      </c>
      <c r="J277" t="s">
        <v>27</v>
      </c>
      <c r="K277" t="s">
        <v>23</v>
      </c>
      <c r="L277">
        <v>2732.47</v>
      </c>
    </row>
    <row r="278" spans="1:12">
      <c r="A278">
        <v>1276</v>
      </c>
      <c r="B278" t="s">
        <v>325</v>
      </c>
      <c r="C278" t="s">
        <v>25</v>
      </c>
      <c r="D278" t="s">
        <v>83</v>
      </c>
      <c r="E278">
        <v>2</v>
      </c>
      <c r="F278">
        <v>3243.45</v>
      </c>
      <c r="G278">
        <v>0.61</v>
      </c>
      <c r="H278">
        <v>0</v>
      </c>
      <c r="I278" s="1">
        <v>45826</v>
      </c>
      <c r="J278" t="s">
        <v>22</v>
      </c>
      <c r="K278" t="s">
        <v>16</v>
      </c>
      <c r="L278">
        <v>-869.12</v>
      </c>
    </row>
    <row r="279" spans="1:12">
      <c r="A279">
        <v>1277</v>
      </c>
      <c r="B279" t="s">
        <v>326</v>
      </c>
      <c r="C279" t="s">
        <v>29</v>
      </c>
      <c r="D279" t="s">
        <v>41</v>
      </c>
      <c r="E279">
        <v>2</v>
      </c>
      <c r="F279">
        <v>4720.5200000000004</v>
      </c>
      <c r="G279">
        <v>0.56999999999999995</v>
      </c>
      <c r="H279">
        <v>4059.65</v>
      </c>
      <c r="I279" s="1">
        <v>45540</v>
      </c>
      <c r="J279" t="s">
        <v>15</v>
      </c>
      <c r="K279" t="s">
        <v>16</v>
      </c>
      <c r="L279">
        <v>1255.6600000000001</v>
      </c>
    </row>
    <row r="280" spans="1:12">
      <c r="A280">
        <v>1278</v>
      </c>
      <c r="B280" t="s">
        <v>327</v>
      </c>
      <c r="C280" t="s">
        <v>29</v>
      </c>
      <c r="D280" t="s">
        <v>41</v>
      </c>
      <c r="E280">
        <v>2</v>
      </c>
      <c r="F280">
        <v>3550.91</v>
      </c>
      <c r="G280">
        <v>0.6</v>
      </c>
      <c r="H280">
        <v>0</v>
      </c>
      <c r="I280" s="1">
        <v>45558</v>
      </c>
      <c r="J280" t="s">
        <v>15</v>
      </c>
      <c r="K280" t="s">
        <v>16</v>
      </c>
      <c r="L280">
        <v>466.53</v>
      </c>
    </row>
    <row r="281" spans="1:12">
      <c r="A281">
        <v>1279</v>
      </c>
      <c r="B281" t="s">
        <v>328</v>
      </c>
      <c r="C281" t="s">
        <v>25</v>
      </c>
      <c r="D281" t="s">
        <v>83</v>
      </c>
      <c r="E281">
        <v>2</v>
      </c>
      <c r="F281">
        <v>2600.33</v>
      </c>
      <c r="G281">
        <v>0.6</v>
      </c>
      <c r="H281">
        <v>0</v>
      </c>
      <c r="I281" s="1">
        <v>45525</v>
      </c>
      <c r="J281" t="s">
        <v>18</v>
      </c>
      <c r="K281" t="s">
        <v>16</v>
      </c>
      <c r="L281">
        <v>1430.67</v>
      </c>
    </row>
    <row r="282" spans="1:12">
      <c r="A282">
        <v>1280</v>
      </c>
      <c r="B282" t="s">
        <v>329</v>
      </c>
      <c r="C282" t="s">
        <v>33</v>
      </c>
      <c r="D282" t="s">
        <v>34</v>
      </c>
      <c r="E282">
        <v>3</v>
      </c>
      <c r="F282">
        <v>2747.5450000000001</v>
      </c>
      <c r="G282">
        <v>0.6</v>
      </c>
      <c r="H282">
        <v>0</v>
      </c>
      <c r="I282" s="1">
        <v>45578</v>
      </c>
      <c r="J282" t="s">
        <v>18</v>
      </c>
      <c r="K282" t="s">
        <v>23</v>
      </c>
      <c r="L282">
        <v>263.41000000000003</v>
      </c>
    </row>
    <row r="283" spans="1:12">
      <c r="A283">
        <v>1003</v>
      </c>
      <c r="B283" t="s">
        <v>330</v>
      </c>
      <c r="C283" t="s">
        <v>20</v>
      </c>
      <c r="D283" t="s">
        <v>21</v>
      </c>
      <c r="E283">
        <v>-2</v>
      </c>
      <c r="F283">
        <v>548.19000000000005</v>
      </c>
      <c r="G283">
        <v>0.6</v>
      </c>
      <c r="H283">
        <v>0</v>
      </c>
      <c r="I283" s="1">
        <v>45603</v>
      </c>
      <c r="J283" t="s">
        <v>22</v>
      </c>
      <c r="K283" t="s">
        <v>16</v>
      </c>
      <c r="L283">
        <v>259.02999999999997</v>
      </c>
    </row>
    <row r="284" spans="1:12">
      <c r="A284">
        <v>1282</v>
      </c>
      <c r="B284" t="s">
        <v>331</v>
      </c>
      <c r="C284" t="s">
        <v>25</v>
      </c>
      <c r="D284" t="s">
        <v>26</v>
      </c>
      <c r="E284">
        <v>-1</v>
      </c>
      <c r="F284">
        <v>2747.5450000000001</v>
      </c>
      <c r="G284">
        <v>0.14000000000000001</v>
      </c>
      <c r="H284">
        <v>0</v>
      </c>
      <c r="I284" s="1">
        <v>45676</v>
      </c>
      <c r="J284" t="s">
        <v>22</v>
      </c>
      <c r="K284" t="s">
        <v>23</v>
      </c>
      <c r="L284">
        <v>-909.75</v>
      </c>
    </row>
    <row r="285" spans="1:12">
      <c r="A285">
        <v>1283</v>
      </c>
      <c r="B285" t="s">
        <v>332</v>
      </c>
      <c r="C285" t="s">
        <v>25</v>
      </c>
      <c r="D285" t="s">
        <v>63</v>
      </c>
      <c r="E285">
        <v>2</v>
      </c>
      <c r="F285">
        <v>2747.5450000000001</v>
      </c>
      <c r="G285">
        <v>0.08</v>
      </c>
      <c r="H285">
        <v>0</v>
      </c>
      <c r="I285" s="1">
        <v>45826</v>
      </c>
      <c r="J285" t="s">
        <v>31</v>
      </c>
      <c r="K285" t="s">
        <v>23</v>
      </c>
      <c r="L285">
        <v>379.24</v>
      </c>
    </row>
    <row r="286" spans="1:12">
      <c r="A286">
        <v>1284</v>
      </c>
      <c r="B286" t="s">
        <v>333</v>
      </c>
      <c r="C286" t="s">
        <v>20</v>
      </c>
      <c r="D286" t="s">
        <v>21</v>
      </c>
      <c r="E286">
        <v>2</v>
      </c>
      <c r="F286">
        <v>1500.19</v>
      </c>
      <c r="G286">
        <v>0.6</v>
      </c>
      <c r="H286">
        <v>0</v>
      </c>
      <c r="I286" s="1">
        <v>45430</v>
      </c>
      <c r="J286" t="s">
        <v>31</v>
      </c>
      <c r="K286" t="s">
        <v>16</v>
      </c>
      <c r="L286">
        <v>-348.48</v>
      </c>
    </row>
    <row r="287" spans="1:12">
      <c r="A287">
        <v>1285</v>
      </c>
      <c r="B287" t="s">
        <v>334</v>
      </c>
      <c r="C287" t="s">
        <v>29</v>
      </c>
      <c r="D287" t="s">
        <v>30</v>
      </c>
      <c r="E287">
        <v>5</v>
      </c>
      <c r="F287">
        <v>2747.5450000000001</v>
      </c>
      <c r="G287">
        <v>0.6</v>
      </c>
      <c r="H287">
        <v>0</v>
      </c>
      <c r="I287" s="1">
        <v>45826</v>
      </c>
      <c r="J287" t="s">
        <v>15</v>
      </c>
      <c r="K287" t="s">
        <v>16</v>
      </c>
      <c r="L287">
        <v>2024.84</v>
      </c>
    </row>
    <row r="288" spans="1:12">
      <c r="A288">
        <v>1286</v>
      </c>
      <c r="B288" t="s">
        <v>335</v>
      </c>
      <c r="C288" t="s">
        <v>33</v>
      </c>
      <c r="D288" t="s">
        <v>79</v>
      </c>
      <c r="E288">
        <v>2</v>
      </c>
      <c r="F288">
        <v>2972.45</v>
      </c>
      <c r="G288">
        <v>0.6</v>
      </c>
      <c r="H288">
        <v>0</v>
      </c>
      <c r="I288" s="1">
        <v>45651</v>
      </c>
      <c r="J288" t="s">
        <v>22</v>
      </c>
      <c r="K288" t="s">
        <v>16</v>
      </c>
      <c r="L288">
        <v>2562.54</v>
      </c>
    </row>
    <row r="289" spans="1:12">
      <c r="A289">
        <v>1287</v>
      </c>
      <c r="B289" t="s">
        <v>336</v>
      </c>
      <c r="C289" t="s">
        <v>13</v>
      </c>
      <c r="D289" t="s">
        <v>14</v>
      </c>
      <c r="E289">
        <v>2</v>
      </c>
      <c r="F289">
        <v>2747.5450000000001</v>
      </c>
      <c r="G289">
        <v>0.6</v>
      </c>
      <c r="H289">
        <v>0</v>
      </c>
      <c r="I289" s="1">
        <v>45694</v>
      </c>
      <c r="J289" t="s">
        <v>27</v>
      </c>
      <c r="K289" t="s">
        <v>23</v>
      </c>
      <c r="L289">
        <v>802.66</v>
      </c>
    </row>
    <row r="290" spans="1:12">
      <c r="A290">
        <v>1288</v>
      </c>
      <c r="B290" t="s">
        <v>337</v>
      </c>
      <c r="C290" t="s">
        <v>25</v>
      </c>
      <c r="D290" t="s">
        <v>63</v>
      </c>
      <c r="E290">
        <v>4</v>
      </c>
      <c r="F290">
        <v>2747.5450000000001</v>
      </c>
      <c r="G290">
        <v>0.6</v>
      </c>
      <c r="H290">
        <v>0</v>
      </c>
      <c r="I290" s="1">
        <v>45826</v>
      </c>
      <c r="J290" t="s">
        <v>15</v>
      </c>
      <c r="K290" t="s">
        <v>23</v>
      </c>
      <c r="L290">
        <v>-492.73</v>
      </c>
    </row>
    <row r="291" spans="1:12">
      <c r="A291">
        <v>1289</v>
      </c>
      <c r="B291" t="s">
        <v>338</v>
      </c>
      <c r="C291" t="s">
        <v>20</v>
      </c>
      <c r="D291" t="s">
        <v>85</v>
      </c>
      <c r="E291">
        <v>2</v>
      </c>
      <c r="F291">
        <v>3590.85</v>
      </c>
      <c r="G291">
        <v>0.6</v>
      </c>
      <c r="H291">
        <v>0</v>
      </c>
      <c r="I291" s="1">
        <v>45826</v>
      </c>
      <c r="J291" t="s">
        <v>22</v>
      </c>
      <c r="K291" t="s">
        <v>16</v>
      </c>
      <c r="L291">
        <v>2052.5700000000002</v>
      </c>
    </row>
    <row r="292" spans="1:12">
      <c r="A292">
        <v>1290</v>
      </c>
      <c r="B292" t="s">
        <v>339</v>
      </c>
      <c r="C292" t="s">
        <v>13</v>
      </c>
      <c r="D292" t="s">
        <v>14</v>
      </c>
      <c r="E292">
        <v>2</v>
      </c>
      <c r="F292">
        <v>1412.12</v>
      </c>
      <c r="G292">
        <v>1.2</v>
      </c>
      <c r="H292">
        <v>0</v>
      </c>
      <c r="I292" s="1">
        <v>45826</v>
      </c>
      <c r="J292" t="s">
        <v>15</v>
      </c>
      <c r="K292" t="s">
        <v>23</v>
      </c>
      <c r="L292">
        <v>430.92</v>
      </c>
    </row>
    <row r="293" spans="1:12">
      <c r="A293">
        <v>1291</v>
      </c>
      <c r="B293" t="s">
        <v>340</v>
      </c>
      <c r="C293" t="s">
        <v>20</v>
      </c>
      <c r="D293" t="s">
        <v>21</v>
      </c>
      <c r="E293">
        <v>2</v>
      </c>
      <c r="F293">
        <v>2747.5450000000001</v>
      </c>
      <c r="G293">
        <v>0.6</v>
      </c>
      <c r="H293">
        <v>0</v>
      </c>
      <c r="I293" s="1">
        <v>45826</v>
      </c>
      <c r="J293" t="s">
        <v>31</v>
      </c>
      <c r="K293" t="s">
        <v>16</v>
      </c>
      <c r="L293">
        <v>1073.44</v>
      </c>
    </row>
    <row r="294" spans="1:12">
      <c r="A294">
        <v>1292</v>
      </c>
      <c r="B294" t="s">
        <v>341</v>
      </c>
      <c r="C294" t="s">
        <v>38</v>
      </c>
      <c r="D294" t="s">
        <v>56</v>
      </c>
      <c r="E294">
        <v>3</v>
      </c>
      <c r="F294">
        <v>2747.5450000000001</v>
      </c>
      <c r="G294">
        <v>0.46</v>
      </c>
      <c r="H294">
        <v>0</v>
      </c>
      <c r="I294" s="1">
        <v>45826</v>
      </c>
      <c r="J294" t="s">
        <v>22</v>
      </c>
      <c r="K294" t="s">
        <v>16</v>
      </c>
      <c r="L294">
        <v>1165.8599999999999</v>
      </c>
    </row>
    <row r="295" spans="1:12">
      <c r="A295">
        <v>1293</v>
      </c>
      <c r="B295" t="s">
        <v>342</v>
      </c>
      <c r="C295" t="s">
        <v>20</v>
      </c>
      <c r="D295" t="s">
        <v>85</v>
      </c>
      <c r="E295">
        <v>2</v>
      </c>
      <c r="F295">
        <v>2747.5450000000001</v>
      </c>
      <c r="G295">
        <v>0.6</v>
      </c>
      <c r="H295">
        <v>0</v>
      </c>
      <c r="I295" s="1">
        <v>45826</v>
      </c>
      <c r="J295" t="s">
        <v>31</v>
      </c>
      <c r="K295" t="s">
        <v>23</v>
      </c>
      <c r="L295">
        <v>2073.16</v>
      </c>
    </row>
    <row r="296" spans="1:12">
      <c r="A296">
        <v>1294</v>
      </c>
      <c r="B296" t="s">
        <v>343</v>
      </c>
      <c r="C296" t="s">
        <v>29</v>
      </c>
      <c r="D296" t="s">
        <v>117</v>
      </c>
      <c r="E296">
        <v>2</v>
      </c>
      <c r="F296">
        <v>2747.5450000000001</v>
      </c>
      <c r="G296">
        <v>0.56000000000000005</v>
      </c>
      <c r="H296">
        <v>0</v>
      </c>
      <c r="I296" s="1">
        <v>45826</v>
      </c>
      <c r="J296" t="s">
        <v>15</v>
      </c>
      <c r="K296" t="s">
        <v>23</v>
      </c>
      <c r="L296">
        <v>898.24</v>
      </c>
    </row>
    <row r="297" spans="1:12">
      <c r="A297">
        <v>1295</v>
      </c>
      <c r="B297" t="s">
        <v>344</v>
      </c>
      <c r="C297" t="s">
        <v>20</v>
      </c>
      <c r="D297" t="s">
        <v>119</v>
      </c>
      <c r="E297">
        <v>-1</v>
      </c>
      <c r="F297">
        <v>2747.5450000000001</v>
      </c>
      <c r="G297">
        <v>0.6</v>
      </c>
      <c r="H297">
        <v>0</v>
      </c>
      <c r="I297" s="1">
        <v>45499</v>
      </c>
      <c r="J297" t="s">
        <v>27</v>
      </c>
      <c r="K297" t="s">
        <v>16</v>
      </c>
      <c r="L297">
        <v>2967.72</v>
      </c>
    </row>
    <row r="298" spans="1:12">
      <c r="A298">
        <v>1296</v>
      </c>
      <c r="B298" t="s">
        <v>345</v>
      </c>
      <c r="C298" t="s">
        <v>13</v>
      </c>
      <c r="D298" t="s">
        <v>14</v>
      </c>
      <c r="E298">
        <v>-2</v>
      </c>
      <c r="F298">
        <v>2795.79</v>
      </c>
      <c r="G298">
        <v>0.6</v>
      </c>
      <c r="H298">
        <v>0</v>
      </c>
      <c r="I298" s="1">
        <v>45742</v>
      </c>
      <c r="J298" t="s">
        <v>27</v>
      </c>
      <c r="K298" t="s">
        <v>23</v>
      </c>
      <c r="L298">
        <v>1438.47</v>
      </c>
    </row>
    <row r="299" spans="1:12">
      <c r="A299">
        <v>1297</v>
      </c>
      <c r="B299" t="s">
        <v>346</v>
      </c>
      <c r="C299" t="s">
        <v>20</v>
      </c>
      <c r="D299" t="s">
        <v>21</v>
      </c>
      <c r="E299">
        <v>2</v>
      </c>
      <c r="F299">
        <v>4524.2</v>
      </c>
      <c r="G299">
        <v>0.6</v>
      </c>
      <c r="H299">
        <v>0</v>
      </c>
      <c r="I299" s="1">
        <v>45506</v>
      </c>
      <c r="J299" t="s">
        <v>15</v>
      </c>
      <c r="K299" t="s">
        <v>16</v>
      </c>
      <c r="L299">
        <v>1637.33</v>
      </c>
    </row>
    <row r="300" spans="1:12">
      <c r="A300">
        <v>1298</v>
      </c>
      <c r="B300" t="s">
        <v>347</v>
      </c>
      <c r="C300" t="s">
        <v>33</v>
      </c>
      <c r="D300" t="s">
        <v>79</v>
      </c>
      <c r="E300">
        <v>2</v>
      </c>
      <c r="F300">
        <v>2747.5450000000001</v>
      </c>
      <c r="G300">
        <v>0.6</v>
      </c>
      <c r="H300">
        <v>0</v>
      </c>
      <c r="I300" s="1">
        <v>45657</v>
      </c>
      <c r="J300" t="s">
        <v>18</v>
      </c>
      <c r="K300" t="s">
        <v>16</v>
      </c>
      <c r="L300">
        <v>2490.23</v>
      </c>
    </row>
    <row r="301" spans="1:12">
      <c r="A301">
        <v>1299</v>
      </c>
      <c r="B301" t="s">
        <v>348</v>
      </c>
      <c r="C301" t="s">
        <v>20</v>
      </c>
      <c r="D301" t="s">
        <v>85</v>
      </c>
      <c r="E301">
        <v>1</v>
      </c>
      <c r="F301">
        <v>1026.58</v>
      </c>
      <c r="G301">
        <v>0.6</v>
      </c>
      <c r="H301">
        <v>0</v>
      </c>
      <c r="I301" s="1">
        <v>45591</v>
      </c>
      <c r="J301" t="s">
        <v>31</v>
      </c>
      <c r="K301" t="s">
        <v>16</v>
      </c>
      <c r="L301">
        <v>1178.3699999999999</v>
      </c>
    </row>
    <row r="302" spans="1:12">
      <c r="A302">
        <v>1300</v>
      </c>
      <c r="B302" t="s">
        <v>349</v>
      </c>
      <c r="C302" t="s">
        <v>13</v>
      </c>
      <c r="D302" t="s">
        <v>14</v>
      </c>
      <c r="E302">
        <v>2</v>
      </c>
      <c r="F302">
        <v>4611.8999999999996</v>
      </c>
      <c r="G302">
        <v>0.6</v>
      </c>
      <c r="H302">
        <v>0</v>
      </c>
      <c r="I302" s="1">
        <v>45772</v>
      </c>
      <c r="J302" t="s">
        <v>15</v>
      </c>
      <c r="K302" t="s">
        <v>23</v>
      </c>
      <c r="L302">
        <v>703.48</v>
      </c>
    </row>
    <row r="303" spans="1:12">
      <c r="A303">
        <v>1047</v>
      </c>
      <c r="B303" t="s">
        <v>350</v>
      </c>
      <c r="C303" t="s">
        <v>13</v>
      </c>
      <c r="D303" t="s">
        <v>48</v>
      </c>
      <c r="E303">
        <v>5</v>
      </c>
      <c r="F303">
        <v>2747.5450000000001</v>
      </c>
      <c r="G303">
        <v>1.1499999999999999</v>
      </c>
      <c r="H303">
        <v>0</v>
      </c>
      <c r="I303" s="1">
        <v>45843</v>
      </c>
      <c r="J303" t="s">
        <v>31</v>
      </c>
      <c r="K303" t="s">
        <v>16</v>
      </c>
      <c r="L303">
        <v>1368.68</v>
      </c>
    </row>
    <row r="304" spans="1:12">
      <c r="A304">
        <v>1302</v>
      </c>
      <c r="B304" t="s">
        <v>351</v>
      </c>
      <c r="C304" t="s">
        <v>13</v>
      </c>
      <c r="D304" t="s">
        <v>99</v>
      </c>
      <c r="E304">
        <v>5</v>
      </c>
      <c r="F304">
        <v>2747.5450000000001</v>
      </c>
      <c r="G304">
        <v>0.09</v>
      </c>
      <c r="H304">
        <v>0</v>
      </c>
      <c r="I304" s="1">
        <v>45702</v>
      </c>
      <c r="J304" t="s">
        <v>18</v>
      </c>
      <c r="K304" t="s">
        <v>16</v>
      </c>
      <c r="L304">
        <v>339.17</v>
      </c>
    </row>
    <row r="305" spans="1:12">
      <c r="A305">
        <v>1303</v>
      </c>
      <c r="B305" t="s">
        <v>352</v>
      </c>
      <c r="C305" t="s">
        <v>13</v>
      </c>
      <c r="D305" t="s">
        <v>48</v>
      </c>
      <c r="E305">
        <v>3</v>
      </c>
      <c r="F305">
        <v>1192.1600000000001</v>
      </c>
      <c r="G305">
        <v>0.6</v>
      </c>
      <c r="H305">
        <v>0</v>
      </c>
      <c r="I305" s="1">
        <v>45826</v>
      </c>
      <c r="J305" t="s">
        <v>45</v>
      </c>
      <c r="K305" t="s">
        <v>23</v>
      </c>
      <c r="L305">
        <v>505.33</v>
      </c>
    </row>
    <row r="306" spans="1:12">
      <c r="A306">
        <v>1047</v>
      </c>
      <c r="B306" t="s">
        <v>353</v>
      </c>
      <c r="C306" t="s">
        <v>38</v>
      </c>
      <c r="D306" t="s">
        <v>56</v>
      </c>
      <c r="E306">
        <v>2</v>
      </c>
      <c r="F306">
        <v>3218.39</v>
      </c>
      <c r="G306">
        <v>0.6</v>
      </c>
      <c r="H306">
        <v>0</v>
      </c>
      <c r="I306" s="1">
        <v>45810</v>
      </c>
      <c r="J306" t="s">
        <v>22</v>
      </c>
      <c r="K306" t="s">
        <v>23</v>
      </c>
      <c r="L306">
        <v>-442.98</v>
      </c>
    </row>
    <row r="307" spans="1:12">
      <c r="A307">
        <v>1305</v>
      </c>
      <c r="B307" t="s">
        <v>354</v>
      </c>
      <c r="C307" t="s">
        <v>20</v>
      </c>
      <c r="D307" t="s">
        <v>77</v>
      </c>
      <c r="E307">
        <v>3</v>
      </c>
      <c r="F307">
        <v>2747.5450000000001</v>
      </c>
      <c r="G307">
        <v>0.6</v>
      </c>
      <c r="H307">
        <v>0</v>
      </c>
      <c r="I307" s="1">
        <v>45157</v>
      </c>
      <c r="J307" t="s">
        <v>15</v>
      </c>
      <c r="K307" t="s">
        <v>16</v>
      </c>
      <c r="L307">
        <v>2861.3</v>
      </c>
    </row>
    <row r="308" spans="1:12">
      <c r="A308">
        <v>1306</v>
      </c>
      <c r="B308" t="s">
        <v>355</v>
      </c>
      <c r="C308" t="s">
        <v>29</v>
      </c>
      <c r="D308" t="s">
        <v>30</v>
      </c>
      <c r="E308">
        <v>4</v>
      </c>
      <c r="F308">
        <v>2747.5450000000001</v>
      </c>
      <c r="G308">
        <v>0.6</v>
      </c>
      <c r="H308">
        <v>0</v>
      </c>
      <c r="I308" s="1">
        <v>45826</v>
      </c>
      <c r="J308" t="s">
        <v>18</v>
      </c>
      <c r="K308" t="s">
        <v>16</v>
      </c>
      <c r="L308">
        <v>99.1</v>
      </c>
    </row>
    <row r="309" spans="1:12">
      <c r="A309">
        <v>1307</v>
      </c>
      <c r="B309" t="s">
        <v>356</v>
      </c>
      <c r="C309" t="s">
        <v>38</v>
      </c>
      <c r="D309" t="s">
        <v>56</v>
      </c>
      <c r="E309">
        <v>2</v>
      </c>
      <c r="F309">
        <v>2648.43</v>
      </c>
      <c r="G309">
        <v>0.6</v>
      </c>
      <c r="H309">
        <v>0</v>
      </c>
      <c r="I309" s="1">
        <v>45512</v>
      </c>
      <c r="J309" t="s">
        <v>18</v>
      </c>
      <c r="K309" t="s">
        <v>23</v>
      </c>
      <c r="L309">
        <v>642</v>
      </c>
    </row>
    <row r="310" spans="1:12">
      <c r="A310">
        <v>1308</v>
      </c>
      <c r="B310" t="s">
        <v>357</v>
      </c>
      <c r="C310" t="s">
        <v>38</v>
      </c>
      <c r="D310" t="s">
        <v>88</v>
      </c>
      <c r="E310">
        <v>2</v>
      </c>
      <c r="F310">
        <v>4203.62</v>
      </c>
      <c r="G310">
        <v>0.6</v>
      </c>
      <c r="H310">
        <v>0</v>
      </c>
      <c r="I310" s="1">
        <v>45755</v>
      </c>
      <c r="J310" t="s">
        <v>22</v>
      </c>
      <c r="K310" t="s">
        <v>23</v>
      </c>
      <c r="L310">
        <v>464.65</v>
      </c>
    </row>
    <row r="311" spans="1:12">
      <c r="A311">
        <v>1309</v>
      </c>
      <c r="B311" t="s">
        <v>358</v>
      </c>
      <c r="C311" t="s">
        <v>29</v>
      </c>
      <c r="D311" t="s">
        <v>138</v>
      </c>
      <c r="E311">
        <v>2</v>
      </c>
      <c r="F311">
        <v>2747.5450000000001</v>
      </c>
      <c r="G311">
        <v>0.6</v>
      </c>
      <c r="H311">
        <v>0</v>
      </c>
      <c r="I311" s="1">
        <v>45719</v>
      </c>
      <c r="J311" t="s">
        <v>45</v>
      </c>
      <c r="K311" t="s">
        <v>23</v>
      </c>
      <c r="L311">
        <v>481.45</v>
      </c>
    </row>
    <row r="312" spans="1:12">
      <c r="A312">
        <v>1310</v>
      </c>
      <c r="B312" t="s">
        <v>359</v>
      </c>
      <c r="C312" t="s">
        <v>38</v>
      </c>
      <c r="D312" t="s">
        <v>56</v>
      </c>
      <c r="E312">
        <v>2</v>
      </c>
      <c r="F312">
        <v>2747.5450000000001</v>
      </c>
      <c r="G312">
        <v>0.6</v>
      </c>
      <c r="H312">
        <v>0</v>
      </c>
      <c r="I312" s="1">
        <v>45720</v>
      </c>
      <c r="J312" t="s">
        <v>45</v>
      </c>
      <c r="K312" t="s">
        <v>23</v>
      </c>
      <c r="L312">
        <v>1516.35</v>
      </c>
    </row>
    <row r="313" spans="1:12">
      <c r="A313">
        <v>1311</v>
      </c>
      <c r="B313" t="s">
        <v>360</v>
      </c>
      <c r="C313" t="s">
        <v>20</v>
      </c>
      <c r="D313" t="s">
        <v>77</v>
      </c>
      <c r="E313">
        <v>3</v>
      </c>
      <c r="F313">
        <v>2747.5450000000001</v>
      </c>
      <c r="G313">
        <v>0.13</v>
      </c>
      <c r="H313">
        <v>0</v>
      </c>
      <c r="I313" s="1">
        <v>45272</v>
      </c>
      <c r="J313" t="s">
        <v>22</v>
      </c>
      <c r="K313" t="s">
        <v>23</v>
      </c>
      <c r="L313">
        <v>-109.19</v>
      </c>
    </row>
    <row r="314" spans="1:12">
      <c r="A314">
        <v>1312</v>
      </c>
      <c r="B314" t="s">
        <v>361</v>
      </c>
      <c r="C314" t="s">
        <v>29</v>
      </c>
      <c r="D314" t="s">
        <v>41</v>
      </c>
      <c r="E314">
        <v>2</v>
      </c>
      <c r="F314">
        <v>2747.5450000000001</v>
      </c>
      <c r="G314">
        <v>0.6</v>
      </c>
      <c r="H314">
        <v>0</v>
      </c>
      <c r="I314" s="1">
        <v>45806</v>
      </c>
      <c r="J314" t="s">
        <v>45</v>
      </c>
      <c r="K314" t="s">
        <v>23</v>
      </c>
      <c r="L314">
        <v>-646.16</v>
      </c>
    </row>
    <row r="315" spans="1:12">
      <c r="A315">
        <v>1313</v>
      </c>
      <c r="B315" t="s">
        <v>362</v>
      </c>
      <c r="C315" t="s">
        <v>29</v>
      </c>
      <c r="D315" t="s">
        <v>117</v>
      </c>
      <c r="E315">
        <v>2</v>
      </c>
      <c r="F315">
        <v>4763.45</v>
      </c>
      <c r="G315">
        <v>0.96</v>
      </c>
      <c r="H315">
        <v>0</v>
      </c>
      <c r="I315" s="1">
        <v>45284</v>
      </c>
      <c r="J315" t="s">
        <v>45</v>
      </c>
      <c r="K315" t="s">
        <v>16</v>
      </c>
      <c r="L315">
        <v>-581.35</v>
      </c>
    </row>
    <row r="316" spans="1:12">
      <c r="A316">
        <v>1314</v>
      </c>
      <c r="B316" t="s">
        <v>363</v>
      </c>
      <c r="C316" t="s">
        <v>25</v>
      </c>
      <c r="D316" t="s">
        <v>63</v>
      </c>
      <c r="E316">
        <v>-1</v>
      </c>
      <c r="F316">
        <v>2747.5450000000001</v>
      </c>
      <c r="G316">
        <v>0.6</v>
      </c>
      <c r="H316">
        <v>0</v>
      </c>
      <c r="I316" s="1">
        <v>45626</v>
      </c>
      <c r="J316" t="s">
        <v>31</v>
      </c>
      <c r="K316" t="s">
        <v>16</v>
      </c>
      <c r="L316">
        <v>1148.06</v>
      </c>
    </row>
    <row r="317" spans="1:12">
      <c r="A317">
        <v>1315</v>
      </c>
      <c r="B317" t="s">
        <v>364</v>
      </c>
      <c r="C317" t="s">
        <v>13</v>
      </c>
      <c r="D317" t="s">
        <v>36</v>
      </c>
      <c r="E317">
        <v>-2</v>
      </c>
      <c r="F317">
        <v>515.04</v>
      </c>
      <c r="G317">
        <v>0.6</v>
      </c>
      <c r="H317">
        <v>0</v>
      </c>
      <c r="I317" s="1">
        <v>45473</v>
      </c>
      <c r="J317" t="s">
        <v>27</v>
      </c>
      <c r="K317" t="s">
        <v>16</v>
      </c>
      <c r="L317">
        <v>-279.01</v>
      </c>
    </row>
    <row r="318" spans="1:12">
      <c r="A318">
        <v>1316</v>
      </c>
      <c r="B318" t="s">
        <v>365</v>
      </c>
      <c r="C318" t="s">
        <v>33</v>
      </c>
      <c r="D318" t="s">
        <v>34</v>
      </c>
      <c r="E318">
        <v>2</v>
      </c>
      <c r="F318">
        <v>1345.98</v>
      </c>
      <c r="G318">
        <v>0.6</v>
      </c>
      <c r="H318">
        <v>0</v>
      </c>
      <c r="I318" s="1">
        <v>45769</v>
      </c>
      <c r="J318" t="s">
        <v>45</v>
      </c>
      <c r="K318" t="s">
        <v>16</v>
      </c>
      <c r="L318">
        <v>-177.6</v>
      </c>
    </row>
    <row r="319" spans="1:12">
      <c r="A319">
        <v>1317</v>
      </c>
      <c r="B319" t="s">
        <v>366</v>
      </c>
      <c r="C319" t="s">
        <v>29</v>
      </c>
      <c r="D319" t="s">
        <v>117</v>
      </c>
      <c r="E319">
        <v>0</v>
      </c>
      <c r="F319">
        <v>2747.5450000000001</v>
      </c>
      <c r="G319">
        <v>0.6</v>
      </c>
      <c r="H319">
        <v>0</v>
      </c>
      <c r="I319" s="1">
        <v>45508</v>
      </c>
      <c r="J319" t="s">
        <v>22</v>
      </c>
      <c r="K319" t="s">
        <v>23</v>
      </c>
      <c r="L319">
        <v>-476.45</v>
      </c>
    </row>
    <row r="320" spans="1:12">
      <c r="A320">
        <v>1318</v>
      </c>
      <c r="B320" t="s">
        <v>367</v>
      </c>
      <c r="C320" t="s">
        <v>29</v>
      </c>
      <c r="D320" t="s">
        <v>30</v>
      </c>
      <c r="E320">
        <v>3</v>
      </c>
      <c r="F320">
        <v>2747.5450000000001</v>
      </c>
      <c r="G320">
        <v>0.6</v>
      </c>
      <c r="H320">
        <v>0</v>
      </c>
      <c r="I320" s="1">
        <v>45826</v>
      </c>
      <c r="J320" t="s">
        <v>45</v>
      </c>
      <c r="K320" t="s">
        <v>16</v>
      </c>
      <c r="L320">
        <v>1830.14</v>
      </c>
    </row>
    <row r="321" spans="1:12">
      <c r="A321">
        <v>1319</v>
      </c>
      <c r="B321" t="s">
        <v>368</v>
      </c>
      <c r="C321" t="s">
        <v>38</v>
      </c>
      <c r="D321" t="s">
        <v>88</v>
      </c>
      <c r="E321">
        <v>0</v>
      </c>
      <c r="F321">
        <v>2747.5450000000001</v>
      </c>
      <c r="G321">
        <v>0.6</v>
      </c>
      <c r="H321">
        <v>0</v>
      </c>
      <c r="I321" s="1">
        <v>45358</v>
      </c>
      <c r="J321" t="s">
        <v>18</v>
      </c>
      <c r="K321" t="s">
        <v>16</v>
      </c>
      <c r="L321">
        <v>-66.17</v>
      </c>
    </row>
    <row r="322" spans="1:12">
      <c r="A322">
        <v>1320</v>
      </c>
      <c r="B322" t="s">
        <v>369</v>
      </c>
      <c r="C322" t="s">
        <v>29</v>
      </c>
      <c r="D322" t="s">
        <v>30</v>
      </c>
      <c r="E322">
        <v>4</v>
      </c>
      <c r="F322">
        <v>2747.5450000000001</v>
      </c>
      <c r="G322">
        <v>0.6</v>
      </c>
      <c r="H322">
        <v>0</v>
      </c>
      <c r="I322" s="1">
        <v>45826</v>
      </c>
      <c r="J322" t="s">
        <v>15</v>
      </c>
      <c r="K322" t="s">
        <v>23</v>
      </c>
      <c r="L322">
        <v>2011.4</v>
      </c>
    </row>
    <row r="323" spans="1:12">
      <c r="A323">
        <v>1321</v>
      </c>
      <c r="B323" t="s">
        <v>370</v>
      </c>
      <c r="C323" t="s">
        <v>20</v>
      </c>
      <c r="D323" t="s">
        <v>119</v>
      </c>
      <c r="E323">
        <v>3</v>
      </c>
      <c r="F323">
        <v>2747.5450000000001</v>
      </c>
      <c r="G323">
        <v>1.02</v>
      </c>
      <c r="H323">
        <v>0</v>
      </c>
      <c r="I323" s="1">
        <v>45561</v>
      </c>
      <c r="J323" t="s">
        <v>15</v>
      </c>
      <c r="K323" t="s">
        <v>16</v>
      </c>
      <c r="L323">
        <v>632.23</v>
      </c>
    </row>
    <row r="324" spans="1:12">
      <c r="A324">
        <v>1322</v>
      </c>
      <c r="B324" t="s">
        <v>371</v>
      </c>
      <c r="C324" t="s">
        <v>33</v>
      </c>
      <c r="D324" t="s">
        <v>69</v>
      </c>
      <c r="E324">
        <v>2</v>
      </c>
      <c r="F324">
        <v>2387.61</v>
      </c>
      <c r="G324">
        <v>0.6</v>
      </c>
      <c r="H324">
        <v>0</v>
      </c>
      <c r="I324" s="1">
        <v>45628</v>
      </c>
      <c r="J324" t="s">
        <v>15</v>
      </c>
      <c r="K324" t="s">
        <v>16</v>
      </c>
      <c r="L324">
        <v>822.46</v>
      </c>
    </row>
    <row r="325" spans="1:12">
      <c r="A325">
        <v>1323</v>
      </c>
      <c r="B325" t="s">
        <v>372</v>
      </c>
      <c r="C325" t="s">
        <v>20</v>
      </c>
      <c r="D325" t="s">
        <v>21</v>
      </c>
      <c r="E325">
        <v>2</v>
      </c>
      <c r="F325">
        <v>2747.5450000000001</v>
      </c>
      <c r="G325">
        <v>1.1200000000000001</v>
      </c>
      <c r="H325">
        <v>0</v>
      </c>
      <c r="I325" s="1">
        <v>45412</v>
      </c>
      <c r="J325" t="s">
        <v>45</v>
      </c>
      <c r="K325" t="s">
        <v>16</v>
      </c>
      <c r="L325">
        <v>-96.6</v>
      </c>
    </row>
    <row r="326" spans="1:12">
      <c r="A326">
        <v>1324</v>
      </c>
      <c r="B326" t="s">
        <v>373</v>
      </c>
      <c r="C326" t="s">
        <v>20</v>
      </c>
      <c r="D326" t="s">
        <v>77</v>
      </c>
      <c r="E326">
        <v>2</v>
      </c>
      <c r="F326">
        <v>2747.5450000000001</v>
      </c>
      <c r="G326">
        <v>0.6</v>
      </c>
      <c r="H326">
        <v>0</v>
      </c>
      <c r="I326" s="1">
        <v>45638</v>
      </c>
      <c r="J326" t="s">
        <v>22</v>
      </c>
      <c r="K326" t="s">
        <v>16</v>
      </c>
      <c r="L326">
        <v>-610.52</v>
      </c>
    </row>
    <row r="327" spans="1:12">
      <c r="A327">
        <v>1325</v>
      </c>
      <c r="B327" t="s">
        <v>374</v>
      </c>
      <c r="C327" t="s">
        <v>13</v>
      </c>
      <c r="D327" t="s">
        <v>99</v>
      </c>
      <c r="E327">
        <v>2</v>
      </c>
      <c r="F327">
        <v>1315.93</v>
      </c>
      <c r="G327">
        <v>0.6</v>
      </c>
      <c r="H327">
        <v>0</v>
      </c>
      <c r="I327" s="1">
        <v>45844</v>
      </c>
      <c r="J327" t="s">
        <v>27</v>
      </c>
      <c r="K327" t="s">
        <v>16</v>
      </c>
      <c r="L327">
        <v>1435.03</v>
      </c>
    </row>
    <row r="328" spans="1:12">
      <c r="A328">
        <v>1326</v>
      </c>
      <c r="B328" t="s">
        <v>375</v>
      </c>
      <c r="C328" t="s">
        <v>38</v>
      </c>
      <c r="D328" t="s">
        <v>39</v>
      </c>
      <c r="E328">
        <v>2</v>
      </c>
      <c r="F328">
        <v>4104.3599999999997</v>
      </c>
      <c r="G328">
        <v>1.1100000000000001</v>
      </c>
      <c r="H328">
        <v>0</v>
      </c>
      <c r="I328" s="1">
        <v>45648</v>
      </c>
      <c r="J328" t="s">
        <v>22</v>
      </c>
      <c r="K328" t="s">
        <v>16</v>
      </c>
      <c r="L328">
        <v>1404.45</v>
      </c>
    </row>
    <row r="329" spans="1:12">
      <c r="A329">
        <v>1327</v>
      </c>
      <c r="B329" t="s">
        <v>376</v>
      </c>
      <c r="C329" t="s">
        <v>25</v>
      </c>
      <c r="D329" t="s">
        <v>63</v>
      </c>
      <c r="E329">
        <v>2</v>
      </c>
      <c r="F329">
        <v>2964.44</v>
      </c>
      <c r="G329">
        <v>0.6</v>
      </c>
      <c r="H329">
        <v>0</v>
      </c>
      <c r="I329" s="1">
        <v>45144</v>
      </c>
      <c r="J329" t="s">
        <v>22</v>
      </c>
      <c r="K329" t="s">
        <v>16</v>
      </c>
      <c r="L329">
        <v>2021.54</v>
      </c>
    </row>
    <row r="330" spans="1:12">
      <c r="A330">
        <v>1328</v>
      </c>
      <c r="B330" t="s">
        <v>377</v>
      </c>
      <c r="C330" t="s">
        <v>25</v>
      </c>
      <c r="D330" t="s">
        <v>83</v>
      </c>
      <c r="E330">
        <v>4</v>
      </c>
      <c r="F330">
        <v>3250.24</v>
      </c>
      <c r="G330">
        <v>0.56000000000000005</v>
      </c>
      <c r="H330">
        <v>5720.42</v>
      </c>
      <c r="I330" s="1">
        <v>45804</v>
      </c>
      <c r="J330" t="s">
        <v>45</v>
      </c>
      <c r="K330" t="s">
        <v>23</v>
      </c>
      <c r="L330">
        <v>2269.54</v>
      </c>
    </row>
    <row r="331" spans="1:12">
      <c r="A331">
        <v>1329</v>
      </c>
      <c r="B331" t="s">
        <v>378</v>
      </c>
      <c r="C331" t="s">
        <v>33</v>
      </c>
      <c r="D331" t="s">
        <v>79</v>
      </c>
      <c r="E331">
        <v>1</v>
      </c>
      <c r="F331">
        <v>2587.7800000000002</v>
      </c>
      <c r="G331">
        <v>0.6</v>
      </c>
      <c r="H331">
        <v>0</v>
      </c>
      <c r="I331" s="1">
        <v>45285</v>
      </c>
      <c r="J331" t="s">
        <v>31</v>
      </c>
      <c r="K331" t="s">
        <v>16</v>
      </c>
      <c r="L331">
        <v>1667.02</v>
      </c>
    </row>
    <row r="332" spans="1:12">
      <c r="A332">
        <v>1330</v>
      </c>
      <c r="B332" t="s">
        <v>379</v>
      </c>
      <c r="C332" t="s">
        <v>38</v>
      </c>
      <c r="D332" t="s">
        <v>56</v>
      </c>
      <c r="E332">
        <v>-2</v>
      </c>
      <c r="F332">
        <v>2747.5450000000001</v>
      </c>
      <c r="G332">
        <v>0.6</v>
      </c>
      <c r="H332">
        <v>0</v>
      </c>
      <c r="I332" s="1">
        <v>45656</v>
      </c>
      <c r="J332" t="s">
        <v>18</v>
      </c>
      <c r="K332" t="s">
        <v>16</v>
      </c>
      <c r="L332">
        <v>-587.38</v>
      </c>
    </row>
    <row r="333" spans="1:12">
      <c r="A333">
        <v>1331</v>
      </c>
      <c r="B333" t="s">
        <v>380</v>
      </c>
      <c r="C333" t="s">
        <v>29</v>
      </c>
      <c r="D333" t="s">
        <v>30</v>
      </c>
      <c r="E333">
        <v>6</v>
      </c>
      <c r="F333">
        <v>2747.5450000000001</v>
      </c>
      <c r="G333">
        <v>0.6</v>
      </c>
      <c r="H333">
        <v>0</v>
      </c>
      <c r="I333" s="1">
        <v>45682</v>
      </c>
      <c r="J333" t="s">
        <v>27</v>
      </c>
      <c r="K333" t="s">
        <v>16</v>
      </c>
      <c r="L333">
        <v>1301.18</v>
      </c>
    </row>
    <row r="334" spans="1:12">
      <c r="A334">
        <v>1332</v>
      </c>
      <c r="B334" t="s">
        <v>381</v>
      </c>
      <c r="C334" t="s">
        <v>33</v>
      </c>
      <c r="D334" t="s">
        <v>79</v>
      </c>
      <c r="E334">
        <v>2</v>
      </c>
      <c r="F334">
        <v>2747.5450000000001</v>
      </c>
      <c r="G334">
        <v>0</v>
      </c>
      <c r="H334">
        <v>0</v>
      </c>
      <c r="I334" s="1">
        <v>45788</v>
      </c>
      <c r="J334" t="s">
        <v>22</v>
      </c>
      <c r="K334" t="s">
        <v>16</v>
      </c>
      <c r="L334">
        <v>2301.09</v>
      </c>
    </row>
    <row r="335" spans="1:12">
      <c r="A335">
        <v>1028</v>
      </c>
      <c r="B335" t="s">
        <v>382</v>
      </c>
      <c r="C335" t="s">
        <v>29</v>
      </c>
      <c r="D335" t="s">
        <v>117</v>
      </c>
      <c r="E335">
        <v>2</v>
      </c>
      <c r="F335">
        <v>2747.5450000000001</v>
      </c>
      <c r="G335">
        <v>0.6</v>
      </c>
      <c r="H335">
        <v>0</v>
      </c>
      <c r="I335" s="1">
        <v>45240</v>
      </c>
      <c r="J335" t="s">
        <v>18</v>
      </c>
      <c r="K335" t="s">
        <v>23</v>
      </c>
      <c r="L335">
        <v>2502.73</v>
      </c>
    </row>
    <row r="336" spans="1:12">
      <c r="A336">
        <v>1334</v>
      </c>
      <c r="B336" t="s">
        <v>383</v>
      </c>
      <c r="C336" t="s">
        <v>38</v>
      </c>
      <c r="D336" t="s">
        <v>56</v>
      </c>
      <c r="E336">
        <v>6</v>
      </c>
      <c r="F336">
        <v>1454.69</v>
      </c>
      <c r="G336">
        <v>0.6</v>
      </c>
      <c r="H336">
        <v>0</v>
      </c>
      <c r="I336" s="1">
        <v>45814</v>
      </c>
      <c r="J336" t="s">
        <v>15</v>
      </c>
      <c r="K336" t="s">
        <v>16</v>
      </c>
      <c r="L336">
        <v>652.87</v>
      </c>
    </row>
    <row r="337" spans="1:12">
      <c r="A337">
        <v>1335</v>
      </c>
      <c r="B337" t="s">
        <v>384</v>
      </c>
      <c r="C337" t="s">
        <v>25</v>
      </c>
      <c r="D337" t="s">
        <v>63</v>
      </c>
      <c r="E337">
        <v>5</v>
      </c>
      <c r="F337">
        <v>2747.5450000000001</v>
      </c>
      <c r="G337">
        <v>0.6</v>
      </c>
      <c r="H337">
        <v>0</v>
      </c>
      <c r="I337" s="1">
        <v>45772</v>
      </c>
      <c r="J337" t="s">
        <v>31</v>
      </c>
      <c r="K337" t="s">
        <v>16</v>
      </c>
      <c r="L337">
        <v>-815.88</v>
      </c>
    </row>
    <row r="338" spans="1:12">
      <c r="A338">
        <v>1336</v>
      </c>
      <c r="B338" t="s">
        <v>385</v>
      </c>
      <c r="C338" t="s">
        <v>20</v>
      </c>
      <c r="D338" t="s">
        <v>85</v>
      </c>
      <c r="E338">
        <v>2</v>
      </c>
      <c r="F338">
        <v>2747.5450000000001</v>
      </c>
      <c r="G338">
        <v>0.6</v>
      </c>
      <c r="H338">
        <v>0</v>
      </c>
      <c r="I338" s="1">
        <v>45826</v>
      </c>
      <c r="J338" t="s">
        <v>15</v>
      </c>
      <c r="K338" t="s">
        <v>23</v>
      </c>
      <c r="L338">
        <v>2000.91</v>
      </c>
    </row>
    <row r="339" spans="1:12">
      <c r="A339">
        <v>1337</v>
      </c>
      <c r="B339" t="s">
        <v>386</v>
      </c>
      <c r="C339" t="s">
        <v>20</v>
      </c>
      <c r="D339" t="s">
        <v>85</v>
      </c>
      <c r="E339">
        <v>6</v>
      </c>
      <c r="F339">
        <v>2286.6799999999998</v>
      </c>
      <c r="G339">
        <v>1.27</v>
      </c>
      <c r="H339">
        <v>-3704.42</v>
      </c>
      <c r="I339" s="1">
        <v>45595</v>
      </c>
      <c r="J339" t="s">
        <v>31</v>
      </c>
      <c r="K339" t="s">
        <v>16</v>
      </c>
      <c r="L339">
        <v>716.16</v>
      </c>
    </row>
    <row r="340" spans="1:12">
      <c r="A340">
        <v>1338</v>
      </c>
      <c r="B340" t="s">
        <v>387</v>
      </c>
      <c r="C340" t="s">
        <v>33</v>
      </c>
      <c r="D340" t="s">
        <v>79</v>
      </c>
      <c r="E340">
        <v>0</v>
      </c>
      <c r="F340">
        <v>2747.5450000000001</v>
      </c>
      <c r="G340">
        <v>0.6</v>
      </c>
      <c r="H340">
        <v>0</v>
      </c>
      <c r="I340" s="1">
        <v>45617</v>
      </c>
      <c r="J340" t="s">
        <v>18</v>
      </c>
      <c r="K340" t="s">
        <v>23</v>
      </c>
      <c r="L340">
        <v>415.06</v>
      </c>
    </row>
    <row r="341" spans="1:12">
      <c r="A341">
        <v>1339</v>
      </c>
      <c r="B341" t="s">
        <v>388</v>
      </c>
      <c r="C341" t="s">
        <v>38</v>
      </c>
      <c r="D341" t="s">
        <v>56</v>
      </c>
      <c r="E341">
        <v>2</v>
      </c>
      <c r="F341">
        <v>4507.5</v>
      </c>
      <c r="G341">
        <v>0.6</v>
      </c>
      <c r="H341">
        <v>0</v>
      </c>
      <c r="I341" s="1">
        <v>45839</v>
      </c>
      <c r="J341" t="s">
        <v>27</v>
      </c>
      <c r="K341" t="s">
        <v>16</v>
      </c>
      <c r="L341">
        <v>2552.65</v>
      </c>
    </row>
    <row r="342" spans="1:12">
      <c r="A342">
        <v>1340</v>
      </c>
      <c r="B342" t="s">
        <v>389</v>
      </c>
      <c r="C342" t="s">
        <v>13</v>
      </c>
      <c r="D342" t="s">
        <v>48</v>
      </c>
      <c r="E342">
        <v>2</v>
      </c>
      <c r="F342">
        <v>2747.5450000000001</v>
      </c>
      <c r="G342">
        <v>0.06</v>
      </c>
      <c r="H342">
        <v>0</v>
      </c>
      <c r="I342" s="1">
        <v>45826</v>
      </c>
      <c r="J342" t="s">
        <v>22</v>
      </c>
      <c r="K342" t="s">
        <v>16</v>
      </c>
      <c r="L342">
        <v>1282.27</v>
      </c>
    </row>
    <row r="343" spans="1:12">
      <c r="A343">
        <v>1341</v>
      </c>
      <c r="B343" t="s">
        <v>390</v>
      </c>
      <c r="C343" t="s">
        <v>25</v>
      </c>
      <c r="D343" t="s">
        <v>63</v>
      </c>
      <c r="E343">
        <v>-1</v>
      </c>
      <c r="F343">
        <v>3074.06</v>
      </c>
      <c r="G343">
        <v>1.24</v>
      </c>
      <c r="H343">
        <v>737.77</v>
      </c>
      <c r="I343" s="1">
        <v>45771</v>
      </c>
      <c r="J343" t="s">
        <v>18</v>
      </c>
      <c r="K343" t="s">
        <v>16</v>
      </c>
      <c r="L343">
        <v>2634.42</v>
      </c>
    </row>
    <row r="344" spans="1:12">
      <c r="A344">
        <v>1342</v>
      </c>
      <c r="B344" t="s">
        <v>391</v>
      </c>
      <c r="C344" t="s">
        <v>38</v>
      </c>
      <c r="D344" t="s">
        <v>60</v>
      </c>
      <c r="E344">
        <v>-1</v>
      </c>
      <c r="F344">
        <v>4707.2</v>
      </c>
      <c r="G344">
        <v>0.6</v>
      </c>
      <c r="H344">
        <v>0</v>
      </c>
      <c r="I344" s="1">
        <v>45826</v>
      </c>
      <c r="J344" t="s">
        <v>45</v>
      </c>
      <c r="K344" t="s">
        <v>23</v>
      </c>
      <c r="L344">
        <v>1395.82</v>
      </c>
    </row>
    <row r="345" spans="1:12">
      <c r="A345">
        <v>1343</v>
      </c>
      <c r="B345" t="s">
        <v>392</v>
      </c>
      <c r="C345" t="s">
        <v>13</v>
      </c>
      <c r="D345" t="s">
        <v>99</v>
      </c>
      <c r="E345">
        <v>2</v>
      </c>
      <c r="F345">
        <v>4012.48</v>
      </c>
      <c r="G345">
        <v>0.6</v>
      </c>
      <c r="H345">
        <v>0</v>
      </c>
      <c r="I345" s="1">
        <v>45859</v>
      </c>
      <c r="J345" t="s">
        <v>22</v>
      </c>
      <c r="K345" t="s">
        <v>16</v>
      </c>
      <c r="L345">
        <v>730.98</v>
      </c>
    </row>
    <row r="346" spans="1:12">
      <c r="A346">
        <v>1344</v>
      </c>
      <c r="B346" t="s">
        <v>393</v>
      </c>
      <c r="C346" t="s">
        <v>13</v>
      </c>
      <c r="D346" t="s">
        <v>48</v>
      </c>
      <c r="E346">
        <v>4</v>
      </c>
      <c r="F346">
        <v>3386.91</v>
      </c>
      <c r="G346">
        <v>0.6</v>
      </c>
      <c r="H346">
        <v>0</v>
      </c>
      <c r="I346" s="1">
        <v>45826</v>
      </c>
      <c r="J346" t="s">
        <v>22</v>
      </c>
      <c r="K346" t="s">
        <v>16</v>
      </c>
      <c r="L346">
        <v>2006.17</v>
      </c>
    </row>
    <row r="347" spans="1:12">
      <c r="A347">
        <v>1040</v>
      </c>
      <c r="B347" t="s">
        <v>394</v>
      </c>
      <c r="C347" t="s">
        <v>33</v>
      </c>
      <c r="D347" t="s">
        <v>69</v>
      </c>
      <c r="E347">
        <v>2</v>
      </c>
      <c r="F347">
        <v>2747.5450000000001</v>
      </c>
      <c r="G347">
        <v>0.18</v>
      </c>
      <c r="H347">
        <v>0</v>
      </c>
      <c r="I347" s="1">
        <v>45826</v>
      </c>
      <c r="J347" t="s">
        <v>27</v>
      </c>
      <c r="K347" t="s">
        <v>23</v>
      </c>
      <c r="L347">
        <v>2721.4</v>
      </c>
    </row>
    <row r="348" spans="1:12">
      <c r="A348">
        <v>1346</v>
      </c>
      <c r="B348" t="s">
        <v>395</v>
      </c>
      <c r="C348" t="s">
        <v>25</v>
      </c>
      <c r="D348" t="s">
        <v>63</v>
      </c>
      <c r="E348">
        <v>-2</v>
      </c>
      <c r="F348">
        <v>1622.65</v>
      </c>
      <c r="G348">
        <v>0.6</v>
      </c>
      <c r="H348">
        <v>0</v>
      </c>
      <c r="I348" s="1">
        <v>45826</v>
      </c>
      <c r="J348" t="s">
        <v>22</v>
      </c>
      <c r="K348" t="s">
        <v>16</v>
      </c>
      <c r="L348">
        <v>-891.76</v>
      </c>
    </row>
    <row r="349" spans="1:12">
      <c r="A349">
        <v>1005</v>
      </c>
      <c r="B349" t="s">
        <v>396</v>
      </c>
      <c r="C349" t="s">
        <v>13</v>
      </c>
      <c r="D349" t="s">
        <v>48</v>
      </c>
      <c r="E349">
        <v>6</v>
      </c>
      <c r="F349">
        <v>2228.4499999999998</v>
      </c>
      <c r="G349">
        <v>1.2</v>
      </c>
      <c r="H349">
        <v>-2674.14</v>
      </c>
      <c r="I349" s="1">
        <v>45694</v>
      </c>
      <c r="J349" t="s">
        <v>27</v>
      </c>
      <c r="K349" t="s">
        <v>16</v>
      </c>
      <c r="L349">
        <v>2728.03</v>
      </c>
    </row>
    <row r="350" spans="1:12">
      <c r="A350">
        <v>1348</v>
      </c>
      <c r="B350" t="s">
        <v>397</v>
      </c>
      <c r="C350" t="s">
        <v>33</v>
      </c>
      <c r="D350" t="s">
        <v>69</v>
      </c>
      <c r="E350">
        <v>2</v>
      </c>
      <c r="F350">
        <v>1219.2</v>
      </c>
      <c r="G350">
        <v>1.17</v>
      </c>
      <c r="H350">
        <v>-414.53</v>
      </c>
      <c r="I350" s="1">
        <v>45604</v>
      </c>
      <c r="J350" t="s">
        <v>31</v>
      </c>
      <c r="K350" t="s">
        <v>23</v>
      </c>
      <c r="L350">
        <v>2694.39</v>
      </c>
    </row>
    <row r="351" spans="1:12">
      <c r="A351">
        <v>1349</v>
      </c>
      <c r="B351" t="s">
        <v>398</v>
      </c>
      <c r="C351" t="s">
        <v>20</v>
      </c>
      <c r="D351" t="s">
        <v>119</v>
      </c>
      <c r="E351">
        <v>-2</v>
      </c>
      <c r="F351">
        <v>2747.5450000000001</v>
      </c>
      <c r="G351">
        <v>0.82</v>
      </c>
      <c r="H351">
        <v>0</v>
      </c>
      <c r="I351" s="1">
        <v>45705</v>
      </c>
      <c r="J351" t="s">
        <v>45</v>
      </c>
      <c r="K351" t="s">
        <v>23</v>
      </c>
      <c r="L351">
        <v>2085.75</v>
      </c>
    </row>
    <row r="352" spans="1:12">
      <c r="A352">
        <v>1008</v>
      </c>
      <c r="B352" t="s">
        <v>399</v>
      </c>
      <c r="C352" t="s">
        <v>33</v>
      </c>
      <c r="D352" t="s">
        <v>69</v>
      </c>
      <c r="E352">
        <v>2</v>
      </c>
      <c r="F352">
        <v>2319.84</v>
      </c>
      <c r="G352">
        <v>0.6</v>
      </c>
      <c r="H352">
        <v>0</v>
      </c>
      <c r="I352" s="1">
        <v>45826</v>
      </c>
      <c r="J352" t="s">
        <v>27</v>
      </c>
      <c r="K352" t="s">
        <v>23</v>
      </c>
      <c r="L352">
        <v>1669.55</v>
      </c>
    </row>
    <row r="353" spans="1:12">
      <c r="A353">
        <v>1351</v>
      </c>
      <c r="B353" t="s">
        <v>400</v>
      </c>
      <c r="C353" t="s">
        <v>25</v>
      </c>
      <c r="D353" t="s">
        <v>63</v>
      </c>
      <c r="E353">
        <v>2</v>
      </c>
      <c r="F353">
        <v>2747.5450000000001</v>
      </c>
      <c r="G353">
        <v>0.6</v>
      </c>
      <c r="H353">
        <v>0</v>
      </c>
      <c r="I353" s="1">
        <v>45546</v>
      </c>
      <c r="J353" t="s">
        <v>31</v>
      </c>
      <c r="K353" t="s">
        <v>16</v>
      </c>
      <c r="L353">
        <v>2621.66</v>
      </c>
    </row>
    <row r="354" spans="1:12">
      <c r="A354">
        <v>1034</v>
      </c>
      <c r="B354" t="s">
        <v>401</v>
      </c>
      <c r="C354" t="s">
        <v>33</v>
      </c>
      <c r="D354" t="s">
        <v>79</v>
      </c>
      <c r="E354">
        <v>2</v>
      </c>
      <c r="F354">
        <v>3991.4</v>
      </c>
      <c r="G354">
        <v>0.6</v>
      </c>
      <c r="H354">
        <v>0</v>
      </c>
      <c r="I354" s="1">
        <v>45693</v>
      </c>
      <c r="J354" t="s">
        <v>45</v>
      </c>
      <c r="K354" t="s">
        <v>16</v>
      </c>
      <c r="L354">
        <v>-555.4</v>
      </c>
    </row>
    <row r="355" spans="1:12">
      <c r="A355">
        <v>1042</v>
      </c>
      <c r="B355" t="s">
        <v>402</v>
      </c>
      <c r="C355" t="s">
        <v>13</v>
      </c>
      <c r="D355" t="s">
        <v>48</v>
      </c>
      <c r="E355">
        <v>2</v>
      </c>
      <c r="F355">
        <v>2747.5450000000001</v>
      </c>
      <c r="G355">
        <v>0.84</v>
      </c>
      <c r="H355">
        <v>0</v>
      </c>
      <c r="I355" s="1">
        <v>45816</v>
      </c>
      <c r="J355" t="s">
        <v>27</v>
      </c>
      <c r="K355" t="s">
        <v>16</v>
      </c>
      <c r="L355">
        <v>1558.99</v>
      </c>
    </row>
    <row r="356" spans="1:12">
      <c r="A356">
        <v>1354</v>
      </c>
      <c r="B356" t="s">
        <v>403</v>
      </c>
      <c r="C356" t="s">
        <v>13</v>
      </c>
      <c r="D356" t="s">
        <v>48</v>
      </c>
      <c r="E356">
        <v>1</v>
      </c>
      <c r="F356">
        <v>2747.5450000000001</v>
      </c>
      <c r="G356">
        <v>0.6</v>
      </c>
      <c r="H356">
        <v>0</v>
      </c>
      <c r="I356" s="1">
        <v>45789</v>
      </c>
      <c r="J356" t="s">
        <v>18</v>
      </c>
      <c r="K356" t="s">
        <v>16</v>
      </c>
      <c r="L356">
        <v>-678.38</v>
      </c>
    </row>
    <row r="357" spans="1:12">
      <c r="A357">
        <v>1355</v>
      </c>
      <c r="B357" t="s">
        <v>404</v>
      </c>
      <c r="C357" t="s">
        <v>38</v>
      </c>
      <c r="D357" t="s">
        <v>88</v>
      </c>
      <c r="E357">
        <v>1</v>
      </c>
      <c r="F357">
        <v>1054.69</v>
      </c>
      <c r="G357">
        <v>0.18</v>
      </c>
      <c r="H357">
        <v>864.85</v>
      </c>
      <c r="I357" s="1">
        <v>45585</v>
      </c>
      <c r="J357" t="s">
        <v>22</v>
      </c>
      <c r="K357" t="s">
        <v>23</v>
      </c>
      <c r="L357">
        <v>698.05</v>
      </c>
    </row>
    <row r="358" spans="1:12">
      <c r="A358">
        <v>1356</v>
      </c>
      <c r="B358" t="s">
        <v>405</v>
      </c>
      <c r="C358" t="s">
        <v>20</v>
      </c>
      <c r="D358" t="s">
        <v>85</v>
      </c>
      <c r="E358">
        <v>2</v>
      </c>
      <c r="F358">
        <v>2418.5500000000002</v>
      </c>
      <c r="G358">
        <v>0.88</v>
      </c>
      <c r="H358">
        <v>0</v>
      </c>
      <c r="I358" s="1">
        <v>45758</v>
      </c>
      <c r="J358" t="s">
        <v>18</v>
      </c>
      <c r="K358" t="s">
        <v>16</v>
      </c>
      <c r="L358">
        <v>428.96</v>
      </c>
    </row>
    <row r="359" spans="1:12">
      <c r="A359">
        <v>1357</v>
      </c>
      <c r="B359" t="s">
        <v>406</v>
      </c>
      <c r="C359" t="s">
        <v>20</v>
      </c>
      <c r="D359" t="s">
        <v>21</v>
      </c>
      <c r="E359">
        <v>2</v>
      </c>
      <c r="F359">
        <v>1128.57</v>
      </c>
      <c r="G359">
        <v>0.39</v>
      </c>
      <c r="H359">
        <v>0</v>
      </c>
      <c r="I359" s="1">
        <v>45678</v>
      </c>
      <c r="J359" t="s">
        <v>31</v>
      </c>
      <c r="K359" t="s">
        <v>16</v>
      </c>
      <c r="L359">
        <v>684.88</v>
      </c>
    </row>
    <row r="360" spans="1:12">
      <c r="A360">
        <v>1358</v>
      </c>
      <c r="B360" t="s">
        <v>407</v>
      </c>
      <c r="C360" t="s">
        <v>29</v>
      </c>
      <c r="D360" t="s">
        <v>41</v>
      </c>
      <c r="E360">
        <v>2</v>
      </c>
      <c r="F360">
        <v>2747.5450000000001</v>
      </c>
      <c r="G360">
        <v>1.23</v>
      </c>
      <c r="H360">
        <v>0</v>
      </c>
      <c r="I360" s="1">
        <v>45704</v>
      </c>
      <c r="J360" t="s">
        <v>27</v>
      </c>
      <c r="K360" t="s">
        <v>16</v>
      </c>
      <c r="L360">
        <v>1347.26</v>
      </c>
    </row>
    <row r="361" spans="1:12">
      <c r="A361">
        <v>1359</v>
      </c>
      <c r="B361" t="s">
        <v>408</v>
      </c>
      <c r="C361" t="s">
        <v>33</v>
      </c>
      <c r="D361" t="s">
        <v>34</v>
      </c>
      <c r="E361">
        <v>2</v>
      </c>
      <c r="F361">
        <v>4625.84</v>
      </c>
      <c r="G361">
        <v>0.6</v>
      </c>
      <c r="H361">
        <v>0</v>
      </c>
      <c r="I361" s="1">
        <v>45826</v>
      </c>
      <c r="J361" t="s">
        <v>22</v>
      </c>
      <c r="K361" t="s">
        <v>16</v>
      </c>
      <c r="L361">
        <v>1663.88</v>
      </c>
    </row>
    <row r="362" spans="1:12">
      <c r="A362">
        <v>1360</v>
      </c>
      <c r="B362" t="s">
        <v>409</v>
      </c>
      <c r="C362" t="s">
        <v>13</v>
      </c>
      <c r="D362" t="s">
        <v>36</v>
      </c>
      <c r="E362">
        <v>2</v>
      </c>
      <c r="F362">
        <v>2747.5450000000001</v>
      </c>
      <c r="G362">
        <v>1.1299999999999999</v>
      </c>
      <c r="H362">
        <v>0</v>
      </c>
      <c r="I362" s="1">
        <v>45692</v>
      </c>
      <c r="J362" t="s">
        <v>15</v>
      </c>
      <c r="K362" t="s">
        <v>16</v>
      </c>
      <c r="L362">
        <v>1316.73</v>
      </c>
    </row>
    <row r="363" spans="1:12">
      <c r="A363">
        <v>1361</v>
      </c>
      <c r="B363" t="s">
        <v>410</v>
      </c>
      <c r="C363" t="s">
        <v>33</v>
      </c>
      <c r="D363" t="s">
        <v>69</v>
      </c>
      <c r="E363">
        <v>2</v>
      </c>
      <c r="F363">
        <v>2747.5450000000001</v>
      </c>
      <c r="G363">
        <v>0.6</v>
      </c>
      <c r="H363">
        <v>0</v>
      </c>
      <c r="I363" s="1">
        <v>45660</v>
      </c>
      <c r="J363" t="s">
        <v>22</v>
      </c>
      <c r="K363" t="s">
        <v>16</v>
      </c>
      <c r="L363">
        <v>528.79999999999995</v>
      </c>
    </row>
    <row r="364" spans="1:12">
      <c r="A364">
        <v>1362</v>
      </c>
      <c r="B364" t="s">
        <v>411</v>
      </c>
      <c r="C364" t="s">
        <v>33</v>
      </c>
      <c r="D364" t="s">
        <v>69</v>
      </c>
      <c r="E364">
        <v>-1</v>
      </c>
      <c r="F364">
        <v>4953.0200000000004</v>
      </c>
      <c r="G364">
        <v>0.6</v>
      </c>
      <c r="H364">
        <v>0</v>
      </c>
      <c r="I364" s="1">
        <v>45633</v>
      </c>
      <c r="J364" t="s">
        <v>18</v>
      </c>
      <c r="K364" t="s">
        <v>16</v>
      </c>
      <c r="L364">
        <v>-499.33</v>
      </c>
    </row>
    <row r="365" spans="1:12">
      <c r="A365">
        <v>1363</v>
      </c>
      <c r="B365" t="s">
        <v>412</v>
      </c>
      <c r="C365" t="s">
        <v>38</v>
      </c>
      <c r="D365" t="s">
        <v>88</v>
      </c>
      <c r="E365">
        <v>6</v>
      </c>
      <c r="F365">
        <v>2747.5450000000001</v>
      </c>
      <c r="G365">
        <v>0.6</v>
      </c>
      <c r="H365">
        <v>0</v>
      </c>
      <c r="I365" s="1">
        <v>45826</v>
      </c>
      <c r="J365" t="s">
        <v>22</v>
      </c>
      <c r="K365" t="s">
        <v>23</v>
      </c>
      <c r="L365">
        <v>2143.4</v>
      </c>
    </row>
    <row r="366" spans="1:12">
      <c r="A366">
        <v>1364</v>
      </c>
      <c r="B366" t="s">
        <v>413</v>
      </c>
      <c r="C366" t="s">
        <v>33</v>
      </c>
      <c r="D366" t="s">
        <v>69</v>
      </c>
      <c r="E366">
        <v>2</v>
      </c>
      <c r="F366">
        <v>2747.5450000000001</v>
      </c>
      <c r="G366">
        <v>0.01</v>
      </c>
      <c r="H366">
        <v>0</v>
      </c>
      <c r="I366" s="1">
        <v>45826</v>
      </c>
      <c r="J366" t="s">
        <v>18</v>
      </c>
      <c r="K366" t="s">
        <v>16</v>
      </c>
      <c r="L366">
        <v>1839.35</v>
      </c>
    </row>
    <row r="367" spans="1:12">
      <c r="A367">
        <v>1365</v>
      </c>
      <c r="B367" t="s">
        <v>414</v>
      </c>
      <c r="C367" t="s">
        <v>38</v>
      </c>
      <c r="D367" t="s">
        <v>56</v>
      </c>
      <c r="E367">
        <v>1</v>
      </c>
      <c r="F367">
        <v>776.52</v>
      </c>
      <c r="G367">
        <v>0.6</v>
      </c>
      <c r="H367">
        <v>0</v>
      </c>
      <c r="I367" s="1">
        <v>45826</v>
      </c>
      <c r="J367" t="s">
        <v>15</v>
      </c>
      <c r="K367" t="s">
        <v>16</v>
      </c>
      <c r="L367">
        <v>2757.77</v>
      </c>
    </row>
    <row r="368" spans="1:12">
      <c r="A368">
        <v>1366</v>
      </c>
      <c r="B368" t="s">
        <v>415</v>
      </c>
      <c r="C368" t="s">
        <v>38</v>
      </c>
      <c r="D368" t="s">
        <v>88</v>
      </c>
      <c r="E368">
        <v>2</v>
      </c>
      <c r="F368">
        <v>1927.12</v>
      </c>
      <c r="G368">
        <v>0.44</v>
      </c>
      <c r="H368">
        <v>0</v>
      </c>
      <c r="I368" s="1">
        <v>45517</v>
      </c>
      <c r="J368" t="s">
        <v>27</v>
      </c>
      <c r="K368" t="s">
        <v>16</v>
      </c>
      <c r="L368">
        <v>928.57</v>
      </c>
    </row>
    <row r="369" spans="1:12">
      <c r="A369">
        <v>1367</v>
      </c>
      <c r="B369" t="s">
        <v>416</v>
      </c>
      <c r="C369" t="s">
        <v>29</v>
      </c>
      <c r="D369" t="s">
        <v>138</v>
      </c>
      <c r="E369">
        <v>2</v>
      </c>
      <c r="F369">
        <v>573.79999999999995</v>
      </c>
      <c r="G369">
        <v>0.6</v>
      </c>
      <c r="H369">
        <v>0</v>
      </c>
      <c r="I369" s="1">
        <v>45680</v>
      </c>
      <c r="J369" t="s">
        <v>18</v>
      </c>
      <c r="K369" t="s">
        <v>23</v>
      </c>
      <c r="L369">
        <v>2546.35</v>
      </c>
    </row>
    <row r="370" spans="1:12">
      <c r="A370">
        <v>1368</v>
      </c>
      <c r="B370" t="s">
        <v>417</v>
      </c>
      <c r="C370" t="s">
        <v>33</v>
      </c>
      <c r="D370" t="s">
        <v>69</v>
      </c>
      <c r="E370">
        <v>4</v>
      </c>
      <c r="F370">
        <v>4032.95</v>
      </c>
      <c r="G370">
        <v>0.6</v>
      </c>
      <c r="H370">
        <v>0</v>
      </c>
      <c r="I370" s="1">
        <v>45826</v>
      </c>
      <c r="J370" t="s">
        <v>18</v>
      </c>
      <c r="K370" t="s">
        <v>16</v>
      </c>
      <c r="L370">
        <v>-20.09</v>
      </c>
    </row>
    <row r="371" spans="1:12">
      <c r="A371">
        <v>1369</v>
      </c>
      <c r="B371" t="s">
        <v>418</v>
      </c>
      <c r="C371" t="s">
        <v>29</v>
      </c>
      <c r="D371" t="s">
        <v>138</v>
      </c>
      <c r="E371">
        <v>2</v>
      </c>
      <c r="F371">
        <v>2747.5450000000001</v>
      </c>
      <c r="G371">
        <v>1.1000000000000001</v>
      </c>
      <c r="H371">
        <v>0</v>
      </c>
      <c r="I371" s="1">
        <v>45818</v>
      </c>
      <c r="J371" t="s">
        <v>31</v>
      </c>
      <c r="K371" t="s">
        <v>16</v>
      </c>
      <c r="L371">
        <v>-844.78</v>
      </c>
    </row>
    <row r="372" spans="1:12">
      <c r="A372">
        <v>1370</v>
      </c>
      <c r="B372" t="s">
        <v>419</v>
      </c>
      <c r="C372" t="s">
        <v>38</v>
      </c>
      <c r="D372" t="s">
        <v>88</v>
      </c>
      <c r="E372">
        <v>-2</v>
      </c>
      <c r="F372">
        <v>2345.4899999999998</v>
      </c>
      <c r="G372">
        <v>1.18</v>
      </c>
      <c r="H372">
        <v>844.38</v>
      </c>
      <c r="I372" s="1">
        <v>45620</v>
      </c>
      <c r="J372" t="s">
        <v>31</v>
      </c>
      <c r="K372" t="s">
        <v>23</v>
      </c>
      <c r="L372">
        <v>212.66</v>
      </c>
    </row>
    <row r="373" spans="1:12">
      <c r="A373">
        <v>1371</v>
      </c>
      <c r="B373" t="s">
        <v>420</v>
      </c>
      <c r="C373" t="s">
        <v>13</v>
      </c>
      <c r="D373" t="s">
        <v>99</v>
      </c>
      <c r="E373">
        <v>2</v>
      </c>
      <c r="F373">
        <v>2747.5450000000001</v>
      </c>
      <c r="G373">
        <v>0.6</v>
      </c>
      <c r="H373">
        <v>0</v>
      </c>
      <c r="I373" s="1">
        <v>45826</v>
      </c>
      <c r="J373" t="s">
        <v>22</v>
      </c>
      <c r="K373" t="s">
        <v>23</v>
      </c>
      <c r="L373">
        <v>72.959999999999994</v>
      </c>
    </row>
    <row r="374" spans="1:12">
      <c r="A374">
        <v>1372</v>
      </c>
      <c r="B374" t="s">
        <v>421</v>
      </c>
      <c r="C374" t="s">
        <v>29</v>
      </c>
      <c r="D374" t="s">
        <v>41</v>
      </c>
      <c r="E374">
        <v>1</v>
      </c>
      <c r="F374">
        <v>2747.5450000000001</v>
      </c>
      <c r="G374">
        <v>0.19</v>
      </c>
      <c r="H374">
        <v>0</v>
      </c>
      <c r="I374" s="1">
        <v>45652</v>
      </c>
      <c r="J374" t="s">
        <v>15</v>
      </c>
      <c r="K374" t="s">
        <v>16</v>
      </c>
      <c r="L374">
        <v>418.89</v>
      </c>
    </row>
    <row r="375" spans="1:12">
      <c r="A375">
        <v>1373</v>
      </c>
      <c r="B375" t="s">
        <v>422</v>
      </c>
      <c r="C375" t="s">
        <v>20</v>
      </c>
      <c r="D375" t="s">
        <v>119</v>
      </c>
      <c r="E375">
        <v>-2</v>
      </c>
      <c r="F375">
        <v>3523.43</v>
      </c>
      <c r="G375">
        <v>0.19</v>
      </c>
      <c r="H375">
        <v>-5707.96</v>
      </c>
      <c r="I375" s="1">
        <v>45826</v>
      </c>
      <c r="J375" t="s">
        <v>15</v>
      </c>
      <c r="K375" t="s">
        <v>16</v>
      </c>
      <c r="L375">
        <v>-892.76</v>
      </c>
    </row>
    <row r="376" spans="1:12">
      <c r="A376">
        <v>1374</v>
      </c>
      <c r="B376" t="s">
        <v>423</v>
      </c>
      <c r="C376" t="s">
        <v>33</v>
      </c>
      <c r="D376" t="s">
        <v>69</v>
      </c>
      <c r="E376">
        <v>1</v>
      </c>
      <c r="F376">
        <v>2747.5450000000001</v>
      </c>
      <c r="G376">
        <v>0.6</v>
      </c>
      <c r="H376">
        <v>0</v>
      </c>
      <c r="I376" s="1">
        <v>45335</v>
      </c>
      <c r="J376" t="s">
        <v>27</v>
      </c>
      <c r="K376" t="s">
        <v>16</v>
      </c>
      <c r="L376">
        <v>2519.16</v>
      </c>
    </row>
    <row r="377" spans="1:12">
      <c r="A377">
        <v>1375</v>
      </c>
      <c r="B377" t="s">
        <v>424</v>
      </c>
      <c r="C377" t="s">
        <v>13</v>
      </c>
      <c r="D377" t="s">
        <v>48</v>
      </c>
      <c r="E377">
        <v>3</v>
      </c>
      <c r="F377">
        <v>420.42</v>
      </c>
      <c r="G377">
        <v>0.6</v>
      </c>
      <c r="H377">
        <v>0</v>
      </c>
      <c r="I377" s="1">
        <v>45826</v>
      </c>
      <c r="J377" t="s">
        <v>31</v>
      </c>
      <c r="K377" t="s">
        <v>16</v>
      </c>
      <c r="L377">
        <v>1318.19</v>
      </c>
    </row>
    <row r="378" spans="1:12">
      <c r="A378">
        <v>1376</v>
      </c>
      <c r="B378" t="s">
        <v>425</v>
      </c>
      <c r="C378" t="s">
        <v>29</v>
      </c>
      <c r="D378" t="s">
        <v>138</v>
      </c>
      <c r="E378">
        <v>4</v>
      </c>
      <c r="F378">
        <v>1447.28</v>
      </c>
      <c r="G378">
        <v>0.6</v>
      </c>
      <c r="H378">
        <v>0</v>
      </c>
      <c r="I378" s="1">
        <v>45500</v>
      </c>
      <c r="J378" t="s">
        <v>31</v>
      </c>
      <c r="K378" t="s">
        <v>23</v>
      </c>
      <c r="L378">
        <v>175.33</v>
      </c>
    </row>
    <row r="379" spans="1:12">
      <c r="A379">
        <v>1377</v>
      </c>
      <c r="B379" t="s">
        <v>426</v>
      </c>
      <c r="C379" t="s">
        <v>20</v>
      </c>
      <c r="D379" t="s">
        <v>85</v>
      </c>
      <c r="E379">
        <v>0</v>
      </c>
      <c r="F379">
        <v>2747.5450000000001</v>
      </c>
      <c r="G379">
        <v>0.65</v>
      </c>
      <c r="H379">
        <v>0</v>
      </c>
      <c r="I379" s="1">
        <v>45826</v>
      </c>
      <c r="J379" t="s">
        <v>27</v>
      </c>
      <c r="K379" t="s">
        <v>23</v>
      </c>
      <c r="L379">
        <v>2229.9499999999998</v>
      </c>
    </row>
    <row r="380" spans="1:12">
      <c r="A380">
        <v>1378</v>
      </c>
      <c r="B380" t="s">
        <v>427</v>
      </c>
      <c r="C380" t="s">
        <v>20</v>
      </c>
      <c r="D380" t="s">
        <v>21</v>
      </c>
      <c r="E380">
        <v>5</v>
      </c>
      <c r="F380">
        <v>4581.26</v>
      </c>
      <c r="G380">
        <v>1.18</v>
      </c>
      <c r="H380">
        <v>-4123.13</v>
      </c>
      <c r="I380" s="1">
        <v>45679</v>
      </c>
      <c r="J380" t="s">
        <v>27</v>
      </c>
      <c r="K380" t="s">
        <v>16</v>
      </c>
      <c r="L380">
        <v>-345.1</v>
      </c>
    </row>
    <row r="381" spans="1:12">
      <c r="A381">
        <v>1013</v>
      </c>
      <c r="B381" t="s">
        <v>428</v>
      </c>
      <c r="C381" t="s">
        <v>20</v>
      </c>
      <c r="D381" t="s">
        <v>21</v>
      </c>
      <c r="E381">
        <v>2</v>
      </c>
      <c r="F381">
        <v>2747.5450000000001</v>
      </c>
      <c r="G381">
        <v>0.6</v>
      </c>
      <c r="H381">
        <v>0</v>
      </c>
      <c r="I381" s="1">
        <v>45574</v>
      </c>
      <c r="J381" t="s">
        <v>15</v>
      </c>
      <c r="K381" t="s">
        <v>16</v>
      </c>
      <c r="L381">
        <v>1647.38</v>
      </c>
    </row>
    <row r="382" spans="1:12">
      <c r="A382">
        <v>1380</v>
      </c>
      <c r="B382" t="s">
        <v>429</v>
      </c>
      <c r="C382" t="s">
        <v>38</v>
      </c>
      <c r="D382" t="s">
        <v>88</v>
      </c>
      <c r="E382">
        <v>2</v>
      </c>
      <c r="F382">
        <v>2747.5450000000001</v>
      </c>
      <c r="G382">
        <v>0.6</v>
      </c>
      <c r="H382">
        <v>0</v>
      </c>
      <c r="I382" s="1">
        <v>45826</v>
      </c>
      <c r="J382" t="s">
        <v>15</v>
      </c>
      <c r="K382" t="s">
        <v>23</v>
      </c>
      <c r="L382">
        <v>-475.94</v>
      </c>
    </row>
    <row r="383" spans="1:12">
      <c r="A383">
        <v>1381</v>
      </c>
      <c r="B383" t="s">
        <v>430</v>
      </c>
      <c r="C383" t="s">
        <v>13</v>
      </c>
      <c r="D383" t="s">
        <v>99</v>
      </c>
      <c r="E383">
        <v>1</v>
      </c>
      <c r="F383">
        <v>2747.5450000000001</v>
      </c>
      <c r="G383">
        <v>1.07</v>
      </c>
      <c r="H383">
        <v>0</v>
      </c>
      <c r="I383" s="1">
        <v>45486</v>
      </c>
      <c r="J383" t="s">
        <v>27</v>
      </c>
      <c r="K383" t="s">
        <v>16</v>
      </c>
      <c r="L383">
        <v>-136.30000000000001</v>
      </c>
    </row>
    <row r="384" spans="1:12">
      <c r="A384">
        <v>1382</v>
      </c>
      <c r="B384" t="s">
        <v>431</v>
      </c>
      <c r="C384" t="s">
        <v>13</v>
      </c>
      <c r="D384" t="s">
        <v>36</v>
      </c>
      <c r="E384">
        <v>-2</v>
      </c>
      <c r="F384">
        <v>2747.5450000000001</v>
      </c>
      <c r="G384">
        <v>0.6</v>
      </c>
      <c r="H384">
        <v>0</v>
      </c>
      <c r="I384" s="1">
        <v>45549</v>
      </c>
      <c r="J384" t="s">
        <v>27</v>
      </c>
      <c r="K384" t="s">
        <v>23</v>
      </c>
      <c r="L384">
        <v>-165.59</v>
      </c>
    </row>
    <row r="385" spans="1:12">
      <c r="A385">
        <v>1383</v>
      </c>
      <c r="B385" t="s">
        <v>432</v>
      </c>
      <c r="C385" t="s">
        <v>38</v>
      </c>
      <c r="D385" t="s">
        <v>56</v>
      </c>
      <c r="E385">
        <v>5</v>
      </c>
      <c r="F385">
        <v>2409.13</v>
      </c>
      <c r="G385">
        <v>0.6</v>
      </c>
      <c r="H385">
        <v>0</v>
      </c>
      <c r="I385" s="1">
        <v>45841</v>
      </c>
      <c r="J385" t="s">
        <v>45</v>
      </c>
      <c r="K385" t="s">
        <v>16</v>
      </c>
      <c r="L385">
        <v>127.63</v>
      </c>
    </row>
    <row r="386" spans="1:12">
      <c r="A386">
        <v>1048</v>
      </c>
      <c r="B386" t="s">
        <v>433</v>
      </c>
      <c r="C386" t="s">
        <v>25</v>
      </c>
      <c r="D386" t="s">
        <v>63</v>
      </c>
      <c r="E386">
        <v>2</v>
      </c>
      <c r="F386">
        <v>2747.5450000000001</v>
      </c>
      <c r="G386">
        <v>0.6</v>
      </c>
      <c r="H386">
        <v>0</v>
      </c>
      <c r="I386" s="1">
        <v>45657</v>
      </c>
      <c r="J386" t="s">
        <v>18</v>
      </c>
      <c r="K386" t="s">
        <v>16</v>
      </c>
      <c r="L386">
        <v>2393.9899999999998</v>
      </c>
    </row>
    <row r="387" spans="1:12">
      <c r="A387">
        <v>1385</v>
      </c>
      <c r="B387" t="s">
        <v>434</v>
      </c>
      <c r="C387" t="s">
        <v>38</v>
      </c>
      <c r="D387" t="s">
        <v>60</v>
      </c>
      <c r="E387">
        <v>1</v>
      </c>
      <c r="F387">
        <v>2747.5450000000001</v>
      </c>
      <c r="G387">
        <v>0.6</v>
      </c>
      <c r="H387">
        <v>0</v>
      </c>
      <c r="I387" s="1">
        <v>45826</v>
      </c>
      <c r="J387" t="s">
        <v>27</v>
      </c>
      <c r="K387" t="s">
        <v>16</v>
      </c>
      <c r="L387">
        <v>2744.77</v>
      </c>
    </row>
    <row r="388" spans="1:12">
      <c r="A388">
        <v>1386</v>
      </c>
      <c r="B388" t="s">
        <v>435</v>
      </c>
      <c r="C388" t="s">
        <v>25</v>
      </c>
      <c r="D388" t="s">
        <v>83</v>
      </c>
      <c r="E388">
        <v>5</v>
      </c>
      <c r="F388">
        <v>4439.8100000000004</v>
      </c>
      <c r="G388">
        <v>1.1000000000000001</v>
      </c>
      <c r="H388">
        <v>-2219.91</v>
      </c>
      <c r="I388" s="1">
        <v>45608</v>
      </c>
      <c r="J388" t="s">
        <v>15</v>
      </c>
      <c r="K388" t="s">
        <v>23</v>
      </c>
      <c r="L388">
        <v>1669.09</v>
      </c>
    </row>
    <row r="389" spans="1:12">
      <c r="A389">
        <v>1387</v>
      </c>
      <c r="B389" t="s">
        <v>436</v>
      </c>
      <c r="C389" t="s">
        <v>20</v>
      </c>
      <c r="D389" t="s">
        <v>21</v>
      </c>
      <c r="E389">
        <v>3</v>
      </c>
      <c r="F389">
        <v>2747.5450000000001</v>
      </c>
      <c r="G389">
        <v>0.6</v>
      </c>
      <c r="H389">
        <v>0</v>
      </c>
      <c r="I389" s="1">
        <v>45507</v>
      </c>
      <c r="J389" t="s">
        <v>45</v>
      </c>
      <c r="K389" t="s">
        <v>16</v>
      </c>
      <c r="L389">
        <v>-505.47</v>
      </c>
    </row>
    <row r="390" spans="1:12">
      <c r="A390">
        <v>1388</v>
      </c>
      <c r="B390" t="s">
        <v>437</v>
      </c>
      <c r="C390" t="s">
        <v>38</v>
      </c>
      <c r="D390" t="s">
        <v>39</v>
      </c>
      <c r="E390">
        <v>4</v>
      </c>
      <c r="F390">
        <v>2747.5450000000001</v>
      </c>
      <c r="G390">
        <v>0.6</v>
      </c>
      <c r="H390">
        <v>0</v>
      </c>
      <c r="I390" s="1">
        <v>45433</v>
      </c>
      <c r="J390" t="s">
        <v>15</v>
      </c>
      <c r="K390" t="s">
        <v>16</v>
      </c>
      <c r="L390">
        <v>475.79</v>
      </c>
    </row>
    <row r="391" spans="1:12">
      <c r="A391">
        <v>1389</v>
      </c>
      <c r="B391" t="s">
        <v>438</v>
      </c>
      <c r="C391" t="s">
        <v>38</v>
      </c>
      <c r="D391" t="s">
        <v>60</v>
      </c>
      <c r="E391">
        <v>2</v>
      </c>
      <c r="F391">
        <v>2742.38</v>
      </c>
      <c r="G391">
        <v>0.6</v>
      </c>
      <c r="H391">
        <v>0</v>
      </c>
      <c r="I391" s="1">
        <v>45132</v>
      </c>
      <c r="J391" t="s">
        <v>18</v>
      </c>
      <c r="K391" t="s">
        <v>16</v>
      </c>
      <c r="L391">
        <v>1987.46</v>
      </c>
    </row>
    <row r="392" spans="1:12">
      <c r="A392">
        <v>1390</v>
      </c>
      <c r="B392" t="s">
        <v>439</v>
      </c>
      <c r="C392" t="s">
        <v>13</v>
      </c>
      <c r="D392" t="s">
        <v>14</v>
      </c>
      <c r="E392">
        <v>4</v>
      </c>
      <c r="F392">
        <v>2747.5450000000001</v>
      </c>
      <c r="G392">
        <v>0.6</v>
      </c>
      <c r="H392">
        <v>0</v>
      </c>
      <c r="I392" s="1">
        <v>45826</v>
      </c>
      <c r="J392" t="s">
        <v>45</v>
      </c>
      <c r="K392" t="s">
        <v>16</v>
      </c>
      <c r="L392">
        <v>1789.75</v>
      </c>
    </row>
    <row r="393" spans="1:12">
      <c r="A393">
        <v>1391</v>
      </c>
      <c r="B393" t="s">
        <v>440</v>
      </c>
      <c r="C393" t="s">
        <v>25</v>
      </c>
      <c r="D393" t="s">
        <v>63</v>
      </c>
      <c r="E393">
        <v>0</v>
      </c>
      <c r="F393">
        <v>2213.79</v>
      </c>
      <c r="G393">
        <v>0.01</v>
      </c>
      <c r="H393">
        <v>0</v>
      </c>
      <c r="I393" s="1">
        <v>45738</v>
      </c>
      <c r="J393" t="s">
        <v>31</v>
      </c>
      <c r="K393" t="s">
        <v>16</v>
      </c>
      <c r="L393">
        <v>418.24</v>
      </c>
    </row>
    <row r="394" spans="1:12">
      <c r="A394">
        <v>1014</v>
      </c>
      <c r="B394" t="s">
        <v>441</v>
      </c>
      <c r="C394" t="s">
        <v>13</v>
      </c>
      <c r="D394" t="s">
        <v>99</v>
      </c>
      <c r="E394">
        <v>2</v>
      </c>
      <c r="F394">
        <v>784.1</v>
      </c>
      <c r="G394">
        <v>0.6</v>
      </c>
      <c r="H394">
        <v>0</v>
      </c>
      <c r="I394" s="1">
        <v>45693</v>
      </c>
      <c r="J394" t="s">
        <v>15</v>
      </c>
      <c r="K394" t="s">
        <v>16</v>
      </c>
      <c r="L394">
        <v>401.24</v>
      </c>
    </row>
    <row r="395" spans="1:12">
      <c r="A395">
        <v>1393</v>
      </c>
      <c r="B395" t="s">
        <v>442</v>
      </c>
      <c r="C395" t="s">
        <v>20</v>
      </c>
      <c r="D395" t="s">
        <v>77</v>
      </c>
      <c r="E395">
        <v>6</v>
      </c>
      <c r="F395">
        <v>2747.5450000000001</v>
      </c>
      <c r="G395">
        <v>0.6</v>
      </c>
      <c r="H395">
        <v>0</v>
      </c>
      <c r="I395" s="1">
        <v>45826</v>
      </c>
      <c r="J395" t="s">
        <v>31</v>
      </c>
      <c r="K395" t="s">
        <v>16</v>
      </c>
      <c r="L395">
        <v>2001.24</v>
      </c>
    </row>
    <row r="396" spans="1:12">
      <c r="A396">
        <v>1394</v>
      </c>
      <c r="B396" t="s">
        <v>443</v>
      </c>
      <c r="C396" t="s">
        <v>20</v>
      </c>
      <c r="D396" t="s">
        <v>77</v>
      </c>
      <c r="E396">
        <v>2</v>
      </c>
      <c r="F396">
        <v>1218.6500000000001</v>
      </c>
      <c r="G396">
        <v>0.6</v>
      </c>
      <c r="H396">
        <v>0</v>
      </c>
      <c r="I396" s="1">
        <v>45806</v>
      </c>
      <c r="J396" t="s">
        <v>31</v>
      </c>
      <c r="K396" t="s">
        <v>16</v>
      </c>
      <c r="L396">
        <v>2538.59</v>
      </c>
    </row>
    <row r="397" spans="1:12">
      <c r="A397">
        <v>1395</v>
      </c>
      <c r="B397" t="s">
        <v>444</v>
      </c>
      <c r="C397" t="s">
        <v>38</v>
      </c>
      <c r="D397" t="s">
        <v>60</v>
      </c>
      <c r="E397">
        <v>2</v>
      </c>
      <c r="F397">
        <v>2747.5450000000001</v>
      </c>
      <c r="G397">
        <v>0.6</v>
      </c>
      <c r="H397">
        <v>0</v>
      </c>
      <c r="I397" s="1">
        <v>45393</v>
      </c>
      <c r="J397" t="s">
        <v>22</v>
      </c>
      <c r="K397" t="s">
        <v>23</v>
      </c>
      <c r="L397">
        <v>-357.08</v>
      </c>
    </row>
    <row r="398" spans="1:12">
      <c r="A398">
        <v>1396</v>
      </c>
      <c r="B398" t="s">
        <v>445</v>
      </c>
      <c r="C398" t="s">
        <v>13</v>
      </c>
      <c r="D398" t="s">
        <v>48</v>
      </c>
      <c r="E398">
        <v>2</v>
      </c>
      <c r="F398">
        <v>3663.65</v>
      </c>
      <c r="G398">
        <v>0.26</v>
      </c>
      <c r="H398">
        <v>5422.2</v>
      </c>
      <c r="I398" s="1">
        <v>45826</v>
      </c>
      <c r="J398" t="s">
        <v>18</v>
      </c>
      <c r="K398" t="s">
        <v>23</v>
      </c>
      <c r="L398">
        <v>1553.44</v>
      </c>
    </row>
    <row r="399" spans="1:12">
      <c r="A399">
        <v>1397</v>
      </c>
      <c r="B399" t="s">
        <v>446</v>
      </c>
      <c r="C399" t="s">
        <v>20</v>
      </c>
      <c r="D399" t="s">
        <v>119</v>
      </c>
      <c r="E399">
        <v>2</v>
      </c>
      <c r="F399">
        <v>2747.5450000000001</v>
      </c>
      <c r="G399">
        <v>0.6</v>
      </c>
      <c r="H399">
        <v>0</v>
      </c>
      <c r="I399" s="1">
        <v>45723</v>
      </c>
      <c r="J399" t="s">
        <v>27</v>
      </c>
      <c r="K399" t="s">
        <v>16</v>
      </c>
      <c r="L399">
        <v>1239.6199999999999</v>
      </c>
    </row>
    <row r="400" spans="1:12">
      <c r="A400">
        <v>1398</v>
      </c>
      <c r="B400" t="s">
        <v>447</v>
      </c>
      <c r="C400" t="s">
        <v>38</v>
      </c>
      <c r="D400" t="s">
        <v>39</v>
      </c>
      <c r="E400">
        <v>2</v>
      </c>
      <c r="F400">
        <v>2747.5450000000001</v>
      </c>
      <c r="G400">
        <v>0.6</v>
      </c>
      <c r="H400">
        <v>0</v>
      </c>
      <c r="I400" s="1">
        <v>45744</v>
      </c>
      <c r="J400" t="s">
        <v>31</v>
      </c>
      <c r="K400" t="s">
        <v>16</v>
      </c>
      <c r="L400">
        <v>-43.7</v>
      </c>
    </row>
    <row r="401" spans="1:12">
      <c r="A401">
        <v>1399</v>
      </c>
      <c r="B401" t="s">
        <v>448</v>
      </c>
      <c r="C401" t="s">
        <v>20</v>
      </c>
      <c r="D401" t="s">
        <v>85</v>
      </c>
      <c r="E401">
        <v>4</v>
      </c>
      <c r="F401">
        <v>2747.5450000000001</v>
      </c>
      <c r="G401">
        <v>0.35</v>
      </c>
      <c r="H401">
        <v>0</v>
      </c>
      <c r="I401" s="1">
        <v>45596</v>
      </c>
      <c r="J401" t="s">
        <v>15</v>
      </c>
      <c r="K401" t="s">
        <v>16</v>
      </c>
      <c r="L401">
        <v>-444.08</v>
      </c>
    </row>
    <row r="402" spans="1:12">
      <c r="A402">
        <v>1400</v>
      </c>
      <c r="B402" t="s">
        <v>449</v>
      </c>
      <c r="C402" t="s">
        <v>33</v>
      </c>
      <c r="D402" t="s">
        <v>69</v>
      </c>
      <c r="E402">
        <v>2</v>
      </c>
      <c r="F402">
        <v>2747.5450000000001</v>
      </c>
      <c r="G402">
        <v>0.6</v>
      </c>
      <c r="H402">
        <v>0</v>
      </c>
      <c r="I402" s="1">
        <v>45715</v>
      </c>
      <c r="J402" t="s">
        <v>15</v>
      </c>
      <c r="K402" t="s">
        <v>16</v>
      </c>
      <c r="L402">
        <v>1385.55</v>
      </c>
    </row>
    <row r="403" spans="1:12">
      <c r="A403">
        <v>1401</v>
      </c>
      <c r="B403" t="s">
        <v>450</v>
      </c>
      <c r="C403" t="s">
        <v>33</v>
      </c>
      <c r="D403" t="s">
        <v>69</v>
      </c>
      <c r="E403">
        <v>-2</v>
      </c>
      <c r="F403">
        <v>2747.5450000000001</v>
      </c>
      <c r="G403">
        <v>0.6</v>
      </c>
      <c r="H403">
        <v>0</v>
      </c>
      <c r="I403" s="1">
        <v>45570</v>
      </c>
      <c r="J403" t="s">
        <v>31</v>
      </c>
      <c r="K403" t="s">
        <v>16</v>
      </c>
      <c r="L403">
        <v>-751.05</v>
      </c>
    </row>
    <row r="404" spans="1:12">
      <c r="A404">
        <v>1402</v>
      </c>
      <c r="B404" t="s">
        <v>451</v>
      </c>
      <c r="C404" t="s">
        <v>29</v>
      </c>
      <c r="D404" t="s">
        <v>117</v>
      </c>
      <c r="E404">
        <v>2</v>
      </c>
      <c r="F404">
        <v>603.51</v>
      </c>
      <c r="G404">
        <v>1.23</v>
      </c>
      <c r="H404">
        <v>0</v>
      </c>
      <c r="I404" s="1">
        <v>45673</v>
      </c>
      <c r="J404" t="s">
        <v>31</v>
      </c>
      <c r="K404" t="s">
        <v>16</v>
      </c>
      <c r="L404">
        <v>982.01</v>
      </c>
    </row>
    <row r="405" spans="1:12">
      <c r="A405">
        <v>1403</v>
      </c>
      <c r="B405" t="s">
        <v>452</v>
      </c>
      <c r="C405" t="s">
        <v>33</v>
      </c>
      <c r="D405" t="s">
        <v>34</v>
      </c>
      <c r="E405">
        <v>2</v>
      </c>
      <c r="F405">
        <v>2747.5450000000001</v>
      </c>
      <c r="G405">
        <v>0.6</v>
      </c>
      <c r="H405">
        <v>0</v>
      </c>
      <c r="I405" s="1">
        <v>45828</v>
      </c>
      <c r="J405" t="s">
        <v>31</v>
      </c>
      <c r="K405" t="s">
        <v>16</v>
      </c>
      <c r="L405">
        <v>2210.0700000000002</v>
      </c>
    </row>
    <row r="406" spans="1:12">
      <c r="A406">
        <v>1404</v>
      </c>
      <c r="B406" t="s">
        <v>453</v>
      </c>
      <c r="C406" t="s">
        <v>29</v>
      </c>
      <c r="D406" t="s">
        <v>117</v>
      </c>
      <c r="E406">
        <v>2</v>
      </c>
      <c r="F406">
        <v>3074.59</v>
      </c>
      <c r="G406">
        <v>0.6</v>
      </c>
      <c r="H406">
        <v>0</v>
      </c>
      <c r="I406" s="1">
        <v>45826</v>
      </c>
      <c r="J406" t="s">
        <v>27</v>
      </c>
      <c r="K406" t="s">
        <v>16</v>
      </c>
      <c r="L406">
        <v>1979.07</v>
      </c>
    </row>
    <row r="407" spans="1:12">
      <c r="A407">
        <v>1405</v>
      </c>
      <c r="B407" t="s">
        <v>454</v>
      </c>
      <c r="C407" t="s">
        <v>38</v>
      </c>
      <c r="D407" t="s">
        <v>56</v>
      </c>
      <c r="E407">
        <v>2</v>
      </c>
      <c r="F407">
        <v>2747.5450000000001</v>
      </c>
      <c r="G407">
        <v>0.56000000000000005</v>
      </c>
      <c r="H407">
        <v>0</v>
      </c>
      <c r="I407" s="1">
        <v>45417</v>
      </c>
      <c r="J407" t="s">
        <v>22</v>
      </c>
      <c r="K407" t="s">
        <v>16</v>
      </c>
      <c r="L407">
        <v>2345.6799999999998</v>
      </c>
    </row>
    <row r="408" spans="1:12">
      <c r="A408">
        <v>1406</v>
      </c>
      <c r="B408" t="s">
        <v>455</v>
      </c>
      <c r="C408" t="s">
        <v>38</v>
      </c>
      <c r="D408" t="s">
        <v>56</v>
      </c>
      <c r="E408">
        <v>2</v>
      </c>
      <c r="F408">
        <v>2747.5450000000001</v>
      </c>
      <c r="G408">
        <v>0.6</v>
      </c>
      <c r="H408">
        <v>0</v>
      </c>
      <c r="I408" s="1">
        <v>45675</v>
      </c>
      <c r="J408" t="s">
        <v>27</v>
      </c>
      <c r="K408" t="s">
        <v>16</v>
      </c>
      <c r="L408">
        <v>-863.17</v>
      </c>
    </row>
    <row r="409" spans="1:12">
      <c r="A409">
        <v>1407</v>
      </c>
      <c r="B409" t="s">
        <v>456</v>
      </c>
      <c r="C409" t="s">
        <v>33</v>
      </c>
      <c r="D409" t="s">
        <v>79</v>
      </c>
      <c r="E409">
        <v>2</v>
      </c>
      <c r="F409">
        <v>4977.8100000000004</v>
      </c>
      <c r="G409">
        <v>0.6</v>
      </c>
      <c r="H409">
        <v>0</v>
      </c>
      <c r="I409" s="1">
        <v>45823</v>
      </c>
      <c r="J409" t="s">
        <v>18</v>
      </c>
      <c r="K409" t="s">
        <v>23</v>
      </c>
      <c r="L409">
        <v>2041.12</v>
      </c>
    </row>
    <row r="410" spans="1:12">
      <c r="A410">
        <v>1408</v>
      </c>
      <c r="B410" t="s">
        <v>457</v>
      </c>
      <c r="C410" t="s">
        <v>25</v>
      </c>
      <c r="D410" t="s">
        <v>83</v>
      </c>
      <c r="E410">
        <v>2</v>
      </c>
      <c r="F410">
        <v>2747.5450000000001</v>
      </c>
      <c r="G410">
        <v>0.6</v>
      </c>
      <c r="H410">
        <v>0</v>
      </c>
      <c r="I410" s="1">
        <v>45539</v>
      </c>
      <c r="J410" t="s">
        <v>22</v>
      </c>
      <c r="K410" t="s">
        <v>23</v>
      </c>
      <c r="L410">
        <v>2305.3200000000002</v>
      </c>
    </row>
    <row r="411" spans="1:12">
      <c r="A411">
        <v>1409</v>
      </c>
      <c r="B411" t="s">
        <v>458</v>
      </c>
      <c r="C411" t="s">
        <v>29</v>
      </c>
      <c r="D411" t="s">
        <v>138</v>
      </c>
      <c r="E411">
        <v>6</v>
      </c>
      <c r="F411">
        <v>2747.5450000000001</v>
      </c>
      <c r="G411">
        <v>0.6</v>
      </c>
      <c r="H411">
        <v>0</v>
      </c>
      <c r="I411" s="1">
        <v>45826</v>
      </c>
      <c r="J411" t="s">
        <v>45</v>
      </c>
      <c r="K411" t="s">
        <v>16</v>
      </c>
      <c r="L411">
        <v>-941.44</v>
      </c>
    </row>
    <row r="412" spans="1:12">
      <c r="A412">
        <v>1410</v>
      </c>
      <c r="B412" t="s">
        <v>459</v>
      </c>
      <c r="C412" t="s">
        <v>13</v>
      </c>
      <c r="D412" t="s">
        <v>99</v>
      </c>
      <c r="E412">
        <v>6</v>
      </c>
      <c r="F412">
        <v>4445.8100000000004</v>
      </c>
      <c r="G412">
        <v>0.6</v>
      </c>
      <c r="H412">
        <v>0</v>
      </c>
      <c r="I412" s="1">
        <v>45826</v>
      </c>
      <c r="J412" t="s">
        <v>15</v>
      </c>
      <c r="K412" t="s">
        <v>16</v>
      </c>
      <c r="L412">
        <v>-654.59</v>
      </c>
    </row>
    <row r="413" spans="1:12">
      <c r="A413">
        <v>1411</v>
      </c>
      <c r="B413" t="s">
        <v>460</v>
      </c>
      <c r="C413" t="s">
        <v>38</v>
      </c>
      <c r="D413" t="s">
        <v>60</v>
      </c>
      <c r="E413">
        <v>2</v>
      </c>
      <c r="F413">
        <v>4946.7700000000004</v>
      </c>
      <c r="G413">
        <v>0.6</v>
      </c>
      <c r="H413">
        <v>0</v>
      </c>
      <c r="I413" s="1">
        <v>45826</v>
      </c>
      <c r="J413" t="s">
        <v>22</v>
      </c>
      <c r="K413" t="s">
        <v>16</v>
      </c>
      <c r="L413">
        <v>1520.19</v>
      </c>
    </row>
    <row r="414" spans="1:12">
      <c r="A414">
        <v>1412</v>
      </c>
      <c r="B414" t="s">
        <v>461</v>
      </c>
      <c r="C414" t="s">
        <v>25</v>
      </c>
      <c r="D414" t="s">
        <v>63</v>
      </c>
      <c r="E414">
        <v>2</v>
      </c>
      <c r="F414">
        <v>2747.5450000000001</v>
      </c>
      <c r="G414">
        <v>0.6</v>
      </c>
      <c r="H414">
        <v>0</v>
      </c>
      <c r="I414" s="1">
        <v>45533</v>
      </c>
      <c r="J414" t="s">
        <v>31</v>
      </c>
      <c r="K414" t="s">
        <v>16</v>
      </c>
      <c r="L414">
        <v>2314.9299999999998</v>
      </c>
    </row>
    <row r="415" spans="1:12">
      <c r="A415">
        <v>1413</v>
      </c>
      <c r="B415" t="s">
        <v>462</v>
      </c>
      <c r="C415" t="s">
        <v>38</v>
      </c>
      <c r="D415" t="s">
        <v>56</v>
      </c>
      <c r="E415">
        <v>1</v>
      </c>
      <c r="F415">
        <v>2747.5450000000001</v>
      </c>
      <c r="G415">
        <v>0.17</v>
      </c>
      <c r="H415">
        <v>0</v>
      </c>
      <c r="I415" s="1">
        <v>45812</v>
      </c>
      <c r="J415" t="s">
        <v>18</v>
      </c>
      <c r="K415" t="s">
        <v>16</v>
      </c>
      <c r="L415">
        <v>1539.28</v>
      </c>
    </row>
    <row r="416" spans="1:12">
      <c r="A416">
        <v>1414</v>
      </c>
      <c r="B416" t="s">
        <v>463</v>
      </c>
      <c r="C416" t="s">
        <v>33</v>
      </c>
      <c r="D416" t="s">
        <v>43</v>
      </c>
      <c r="E416">
        <v>2</v>
      </c>
      <c r="F416">
        <v>2747.5450000000001</v>
      </c>
      <c r="G416">
        <v>0.6</v>
      </c>
      <c r="H416">
        <v>0</v>
      </c>
      <c r="I416" s="1">
        <v>45846</v>
      </c>
      <c r="J416" t="s">
        <v>18</v>
      </c>
      <c r="K416" t="s">
        <v>16</v>
      </c>
      <c r="L416">
        <v>2843.55</v>
      </c>
    </row>
    <row r="417" spans="1:12">
      <c r="A417">
        <v>1415</v>
      </c>
      <c r="B417" t="s">
        <v>464</v>
      </c>
      <c r="C417" t="s">
        <v>20</v>
      </c>
      <c r="D417" t="s">
        <v>21</v>
      </c>
      <c r="E417">
        <v>2</v>
      </c>
      <c r="F417">
        <v>3149</v>
      </c>
      <c r="G417">
        <v>0.6</v>
      </c>
      <c r="H417">
        <v>0</v>
      </c>
      <c r="I417" s="1">
        <v>45826</v>
      </c>
      <c r="J417" t="s">
        <v>27</v>
      </c>
      <c r="K417" t="s">
        <v>16</v>
      </c>
      <c r="L417">
        <v>2661.23</v>
      </c>
    </row>
    <row r="418" spans="1:12">
      <c r="A418">
        <v>1416</v>
      </c>
      <c r="B418" t="s">
        <v>465</v>
      </c>
      <c r="C418" t="s">
        <v>29</v>
      </c>
      <c r="D418" t="s">
        <v>117</v>
      </c>
      <c r="E418">
        <v>2</v>
      </c>
      <c r="F418">
        <v>3527.15</v>
      </c>
      <c r="G418">
        <v>0.6</v>
      </c>
      <c r="H418">
        <v>0</v>
      </c>
      <c r="I418" s="1">
        <v>45253</v>
      </c>
      <c r="J418" t="s">
        <v>31</v>
      </c>
      <c r="K418" t="s">
        <v>16</v>
      </c>
      <c r="L418">
        <v>2286.48</v>
      </c>
    </row>
    <row r="419" spans="1:12">
      <c r="A419">
        <v>1417</v>
      </c>
      <c r="B419" t="s">
        <v>466</v>
      </c>
      <c r="C419" t="s">
        <v>38</v>
      </c>
      <c r="D419" t="s">
        <v>60</v>
      </c>
      <c r="E419">
        <v>2</v>
      </c>
      <c r="F419">
        <v>2747.5450000000001</v>
      </c>
      <c r="G419">
        <v>0.6</v>
      </c>
      <c r="H419">
        <v>0</v>
      </c>
      <c r="I419" s="1">
        <v>45515</v>
      </c>
      <c r="J419" t="s">
        <v>27</v>
      </c>
      <c r="K419" t="s">
        <v>23</v>
      </c>
      <c r="L419">
        <v>888.59</v>
      </c>
    </row>
    <row r="420" spans="1:12">
      <c r="A420">
        <v>1418</v>
      </c>
      <c r="B420" t="s">
        <v>467</v>
      </c>
      <c r="C420" t="s">
        <v>38</v>
      </c>
      <c r="D420" t="s">
        <v>88</v>
      </c>
      <c r="E420">
        <v>2</v>
      </c>
      <c r="F420">
        <v>2747.5450000000001</v>
      </c>
      <c r="G420">
        <v>0.13</v>
      </c>
      <c r="H420">
        <v>0</v>
      </c>
      <c r="I420" s="1">
        <v>45507</v>
      </c>
      <c r="J420" t="s">
        <v>27</v>
      </c>
      <c r="K420" t="s">
        <v>23</v>
      </c>
      <c r="L420">
        <v>1403.76</v>
      </c>
    </row>
    <row r="421" spans="1:12">
      <c r="A421">
        <v>1419</v>
      </c>
      <c r="B421" t="s">
        <v>468</v>
      </c>
      <c r="C421" t="s">
        <v>20</v>
      </c>
      <c r="D421" t="s">
        <v>77</v>
      </c>
      <c r="E421">
        <v>2</v>
      </c>
      <c r="F421">
        <v>2747.5450000000001</v>
      </c>
      <c r="G421">
        <v>0.6</v>
      </c>
      <c r="H421">
        <v>0</v>
      </c>
      <c r="I421" s="1">
        <v>45580</v>
      </c>
      <c r="J421" t="s">
        <v>31</v>
      </c>
      <c r="K421" t="s">
        <v>23</v>
      </c>
      <c r="L421">
        <v>-565.16999999999996</v>
      </c>
    </row>
    <row r="422" spans="1:12">
      <c r="A422">
        <v>1420</v>
      </c>
      <c r="B422" t="s">
        <v>469</v>
      </c>
      <c r="C422" t="s">
        <v>25</v>
      </c>
      <c r="D422" t="s">
        <v>26</v>
      </c>
      <c r="E422">
        <v>2</v>
      </c>
      <c r="F422">
        <v>2747.5450000000001</v>
      </c>
      <c r="G422">
        <v>0.96</v>
      </c>
      <c r="H422">
        <v>0</v>
      </c>
      <c r="I422" s="1">
        <v>45814</v>
      </c>
      <c r="J422" t="s">
        <v>18</v>
      </c>
      <c r="K422" t="s">
        <v>23</v>
      </c>
      <c r="L422">
        <v>2790.42</v>
      </c>
    </row>
    <row r="423" spans="1:12">
      <c r="A423">
        <v>1421</v>
      </c>
      <c r="B423" t="s">
        <v>470</v>
      </c>
      <c r="C423" t="s">
        <v>33</v>
      </c>
      <c r="D423" t="s">
        <v>69</v>
      </c>
      <c r="E423">
        <v>0</v>
      </c>
      <c r="F423">
        <v>2747.5450000000001</v>
      </c>
      <c r="G423">
        <v>0.6</v>
      </c>
      <c r="H423">
        <v>0</v>
      </c>
      <c r="I423" s="1">
        <v>45853</v>
      </c>
      <c r="J423" t="s">
        <v>18</v>
      </c>
      <c r="K423" t="s">
        <v>16</v>
      </c>
      <c r="L423">
        <v>575.19000000000005</v>
      </c>
    </row>
    <row r="424" spans="1:12">
      <c r="A424">
        <v>1422</v>
      </c>
      <c r="B424" t="s">
        <v>471</v>
      </c>
      <c r="C424" t="s">
        <v>13</v>
      </c>
      <c r="D424" t="s">
        <v>36</v>
      </c>
      <c r="E424">
        <v>2</v>
      </c>
      <c r="F424">
        <v>4466.49</v>
      </c>
      <c r="G424">
        <v>0.6</v>
      </c>
      <c r="H424">
        <v>0</v>
      </c>
      <c r="I424" s="1">
        <v>45726</v>
      </c>
      <c r="J424" t="s">
        <v>18</v>
      </c>
      <c r="K424" t="s">
        <v>23</v>
      </c>
      <c r="L424">
        <v>2168.7800000000002</v>
      </c>
    </row>
    <row r="425" spans="1:12">
      <c r="A425">
        <v>1423</v>
      </c>
      <c r="B425" t="s">
        <v>472</v>
      </c>
      <c r="C425" t="s">
        <v>20</v>
      </c>
      <c r="D425" t="s">
        <v>119</v>
      </c>
      <c r="E425">
        <v>2</v>
      </c>
      <c r="F425">
        <v>2747.5450000000001</v>
      </c>
      <c r="G425">
        <v>0.6</v>
      </c>
      <c r="H425">
        <v>0</v>
      </c>
      <c r="I425" s="1">
        <v>45710</v>
      </c>
      <c r="J425" t="s">
        <v>31</v>
      </c>
      <c r="K425" t="s">
        <v>16</v>
      </c>
      <c r="L425">
        <v>1302.05</v>
      </c>
    </row>
    <row r="426" spans="1:12">
      <c r="A426">
        <v>1424</v>
      </c>
      <c r="B426" t="s">
        <v>473</v>
      </c>
      <c r="C426" t="s">
        <v>33</v>
      </c>
      <c r="D426" t="s">
        <v>69</v>
      </c>
      <c r="E426">
        <v>-1</v>
      </c>
      <c r="F426">
        <v>538.6</v>
      </c>
      <c r="G426">
        <v>1.18</v>
      </c>
      <c r="H426">
        <v>96.95</v>
      </c>
      <c r="I426" s="1">
        <v>45661</v>
      </c>
      <c r="J426" t="s">
        <v>31</v>
      </c>
      <c r="K426" t="s">
        <v>16</v>
      </c>
      <c r="L426">
        <v>752.81</v>
      </c>
    </row>
    <row r="427" spans="1:12">
      <c r="A427">
        <v>1425</v>
      </c>
      <c r="B427" t="s">
        <v>474</v>
      </c>
      <c r="C427" t="s">
        <v>29</v>
      </c>
      <c r="D427" t="s">
        <v>138</v>
      </c>
      <c r="E427">
        <v>2</v>
      </c>
      <c r="F427">
        <v>1133.73</v>
      </c>
      <c r="G427">
        <v>0.6</v>
      </c>
      <c r="H427">
        <v>0</v>
      </c>
      <c r="I427" s="1">
        <v>45656</v>
      </c>
      <c r="J427" t="s">
        <v>45</v>
      </c>
      <c r="K427" t="s">
        <v>23</v>
      </c>
      <c r="L427">
        <v>2604.14</v>
      </c>
    </row>
    <row r="428" spans="1:12">
      <c r="A428">
        <v>1426</v>
      </c>
      <c r="B428" t="s">
        <v>475</v>
      </c>
      <c r="C428" t="s">
        <v>13</v>
      </c>
      <c r="D428" t="s">
        <v>99</v>
      </c>
      <c r="E428">
        <v>-2</v>
      </c>
      <c r="F428">
        <v>3175.17</v>
      </c>
      <c r="G428">
        <v>0.86</v>
      </c>
      <c r="H428">
        <v>-889.05</v>
      </c>
      <c r="I428" s="1">
        <v>45826</v>
      </c>
      <c r="J428" t="s">
        <v>31</v>
      </c>
      <c r="K428" t="s">
        <v>23</v>
      </c>
      <c r="L428">
        <v>2860.99</v>
      </c>
    </row>
    <row r="429" spans="1:12">
      <c r="A429">
        <v>1427</v>
      </c>
      <c r="B429" t="s">
        <v>476</v>
      </c>
      <c r="C429" t="s">
        <v>25</v>
      </c>
      <c r="D429" t="s">
        <v>83</v>
      </c>
      <c r="E429">
        <v>2</v>
      </c>
      <c r="F429">
        <v>2747.5450000000001</v>
      </c>
      <c r="G429">
        <v>0.6</v>
      </c>
      <c r="H429">
        <v>0</v>
      </c>
      <c r="I429" s="1">
        <v>45826</v>
      </c>
      <c r="J429" t="s">
        <v>22</v>
      </c>
      <c r="K429" t="s">
        <v>16</v>
      </c>
      <c r="L429">
        <v>2795.17</v>
      </c>
    </row>
    <row r="430" spans="1:12">
      <c r="A430">
        <v>1015</v>
      </c>
      <c r="B430" t="s">
        <v>477</v>
      </c>
      <c r="C430" t="s">
        <v>13</v>
      </c>
      <c r="D430" t="s">
        <v>36</v>
      </c>
      <c r="E430">
        <v>2</v>
      </c>
      <c r="F430">
        <v>2747.5450000000001</v>
      </c>
      <c r="G430">
        <v>0.6</v>
      </c>
      <c r="H430">
        <v>0</v>
      </c>
      <c r="I430" s="1">
        <v>45682</v>
      </c>
      <c r="J430" t="s">
        <v>15</v>
      </c>
      <c r="K430" t="s">
        <v>16</v>
      </c>
      <c r="L430">
        <v>1869.46</v>
      </c>
    </row>
    <row r="431" spans="1:12">
      <c r="A431">
        <v>1429</v>
      </c>
      <c r="B431" t="s">
        <v>478</v>
      </c>
      <c r="C431" t="s">
        <v>38</v>
      </c>
      <c r="D431" t="s">
        <v>88</v>
      </c>
      <c r="E431">
        <v>2</v>
      </c>
      <c r="F431">
        <v>3292.01</v>
      </c>
      <c r="G431">
        <v>0.6</v>
      </c>
      <c r="H431">
        <v>0</v>
      </c>
      <c r="I431" s="1">
        <v>45568</v>
      </c>
      <c r="J431" t="s">
        <v>15</v>
      </c>
      <c r="K431" t="s">
        <v>23</v>
      </c>
      <c r="L431">
        <v>-358.22</v>
      </c>
    </row>
    <row r="432" spans="1:12">
      <c r="A432">
        <v>1430</v>
      </c>
      <c r="B432" t="s">
        <v>479</v>
      </c>
      <c r="C432" t="s">
        <v>13</v>
      </c>
      <c r="D432" t="s">
        <v>48</v>
      </c>
      <c r="E432">
        <v>-2</v>
      </c>
      <c r="F432">
        <v>2747.5450000000001</v>
      </c>
      <c r="G432">
        <v>0.67</v>
      </c>
      <c r="H432">
        <v>0</v>
      </c>
      <c r="I432" s="1">
        <v>45789</v>
      </c>
      <c r="J432" t="s">
        <v>45</v>
      </c>
      <c r="K432" t="s">
        <v>16</v>
      </c>
      <c r="L432">
        <v>2045.56</v>
      </c>
    </row>
    <row r="433" spans="1:12">
      <c r="A433">
        <v>1431</v>
      </c>
      <c r="B433" t="s">
        <v>480</v>
      </c>
      <c r="C433" t="s">
        <v>29</v>
      </c>
      <c r="D433" t="s">
        <v>117</v>
      </c>
      <c r="E433">
        <v>2</v>
      </c>
      <c r="F433">
        <v>2747.5450000000001</v>
      </c>
      <c r="G433">
        <v>0.6</v>
      </c>
      <c r="H433">
        <v>0</v>
      </c>
      <c r="I433" s="1">
        <v>45776</v>
      </c>
      <c r="J433" t="s">
        <v>15</v>
      </c>
      <c r="K433" t="s">
        <v>23</v>
      </c>
      <c r="L433">
        <v>2191.02</v>
      </c>
    </row>
    <row r="434" spans="1:12">
      <c r="A434">
        <v>1432</v>
      </c>
      <c r="B434" t="s">
        <v>481</v>
      </c>
      <c r="C434" t="s">
        <v>25</v>
      </c>
      <c r="D434" t="s">
        <v>52</v>
      </c>
      <c r="E434">
        <v>2</v>
      </c>
      <c r="F434">
        <v>2747.5450000000001</v>
      </c>
      <c r="G434">
        <v>0.6</v>
      </c>
      <c r="H434">
        <v>0</v>
      </c>
      <c r="I434" s="1">
        <v>45445</v>
      </c>
      <c r="J434" t="s">
        <v>18</v>
      </c>
      <c r="K434" t="s">
        <v>23</v>
      </c>
      <c r="L434">
        <v>-849.15</v>
      </c>
    </row>
    <row r="435" spans="1:12">
      <c r="A435">
        <v>1433</v>
      </c>
      <c r="B435" t="s">
        <v>482</v>
      </c>
      <c r="C435" t="s">
        <v>33</v>
      </c>
      <c r="D435" t="s">
        <v>43</v>
      </c>
      <c r="E435">
        <v>2</v>
      </c>
      <c r="F435">
        <v>2747.5450000000001</v>
      </c>
      <c r="G435">
        <v>0.7</v>
      </c>
      <c r="H435">
        <v>0</v>
      </c>
      <c r="I435" s="1">
        <v>45661</v>
      </c>
      <c r="J435" t="s">
        <v>22</v>
      </c>
      <c r="K435" t="s">
        <v>23</v>
      </c>
      <c r="L435">
        <v>-878.85</v>
      </c>
    </row>
    <row r="436" spans="1:12">
      <c r="A436">
        <v>1434</v>
      </c>
      <c r="B436" t="s">
        <v>483</v>
      </c>
      <c r="C436" t="s">
        <v>13</v>
      </c>
      <c r="D436" t="s">
        <v>36</v>
      </c>
      <c r="E436">
        <v>0</v>
      </c>
      <c r="F436">
        <v>476.2</v>
      </c>
      <c r="G436">
        <v>1.03</v>
      </c>
      <c r="H436">
        <v>0</v>
      </c>
      <c r="I436" s="1">
        <v>45512</v>
      </c>
      <c r="J436" t="s">
        <v>31</v>
      </c>
      <c r="K436" t="s">
        <v>16</v>
      </c>
      <c r="L436">
        <v>-310.8</v>
      </c>
    </row>
    <row r="437" spans="1:12">
      <c r="A437">
        <v>1435</v>
      </c>
      <c r="B437" t="s">
        <v>484</v>
      </c>
      <c r="C437" t="s">
        <v>33</v>
      </c>
      <c r="D437" t="s">
        <v>69</v>
      </c>
      <c r="E437">
        <v>3</v>
      </c>
      <c r="F437">
        <v>2747.5450000000001</v>
      </c>
      <c r="G437">
        <v>0.6</v>
      </c>
      <c r="H437">
        <v>0</v>
      </c>
      <c r="I437" s="1">
        <v>45763</v>
      </c>
      <c r="J437" t="s">
        <v>31</v>
      </c>
      <c r="K437" t="s">
        <v>23</v>
      </c>
      <c r="L437">
        <v>904.65</v>
      </c>
    </row>
    <row r="438" spans="1:12">
      <c r="A438">
        <v>1436</v>
      </c>
      <c r="B438" t="s">
        <v>485</v>
      </c>
      <c r="C438" t="s">
        <v>33</v>
      </c>
      <c r="D438" t="s">
        <v>69</v>
      </c>
      <c r="E438">
        <v>2</v>
      </c>
      <c r="F438">
        <v>2747.5450000000001</v>
      </c>
      <c r="G438">
        <v>1.26</v>
      </c>
      <c r="H438">
        <v>0</v>
      </c>
      <c r="I438" s="1">
        <v>45517</v>
      </c>
      <c r="J438" t="s">
        <v>18</v>
      </c>
      <c r="K438" t="s">
        <v>16</v>
      </c>
      <c r="L438">
        <v>1445.93</v>
      </c>
    </row>
    <row r="439" spans="1:12">
      <c r="A439">
        <v>1437</v>
      </c>
      <c r="B439" t="s">
        <v>486</v>
      </c>
      <c r="C439" t="s">
        <v>13</v>
      </c>
      <c r="D439" t="s">
        <v>36</v>
      </c>
      <c r="E439">
        <v>0</v>
      </c>
      <c r="F439">
        <v>3886.3</v>
      </c>
      <c r="G439">
        <v>0.34</v>
      </c>
      <c r="H439">
        <v>0</v>
      </c>
      <c r="I439" s="1">
        <v>45703</v>
      </c>
      <c r="J439" t="s">
        <v>15</v>
      </c>
      <c r="K439" t="s">
        <v>16</v>
      </c>
      <c r="L439">
        <v>131.47999999999999</v>
      </c>
    </row>
    <row r="440" spans="1:12">
      <c r="A440">
        <v>1438</v>
      </c>
      <c r="B440" t="s">
        <v>487</v>
      </c>
      <c r="C440" t="s">
        <v>38</v>
      </c>
      <c r="D440" t="s">
        <v>60</v>
      </c>
      <c r="E440">
        <v>2</v>
      </c>
      <c r="F440">
        <v>2663.97</v>
      </c>
      <c r="G440">
        <v>0.84</v>
      </c>
      <c r="H440">
        <v>0</v>
      </c>
      <c r="I440" s="1">
        <v>45186</v>
      </c>
      <c r="J440" t="s">
        <v>45</v>
      </c>
      <c r="K440" t="s">
        <v>16</v>
      </c>
      <c r="L440">
        <v>1014.29</v>
      </c>
    </row>
    <row r="441" spans="1:12">
      <c r="A441">
        <v>1439</v>
      </c>
      <c r="B441" t="s">
        <v>488</v>
      </c>
      <c r="C441" t="s">
        <v>33</v>
      </c>
      <c r="D441" t="s">
        <v>79</v>
      </c>
      <c r="E441">
        <v>2</v>
      </c>
      <c r="F441">
        <v>2747.5450000000001</v>
      </c>
      <c r="G441">
        <v>0.6</v>
      </c>
      <c r="H441">
        <v>0</v>
      </c>
      <c r="I441" s="1">
        <v>45826</v>
      </c>
      <c r="J441" t="s">
        <v>18</v>
      </c>
      <c r="K441" t="s">
        <v>23</v>
      </c>
      <c r="L441">
        <v>726.42</v>
      </c>
    </row>
    <row r="442" spans="1:12">
      <c r="A442">
        <v>1440</v>
      </c>
      <c r="B442" t="s">
        <v>489</v>
      </c>
      <c r="C442" t="s">
        <v>38</v>
      </c>
      <c r="D442" t="s">
        <v>88</v>
      </c>
      <c r="E442">
        <v>0</v>
      </c>
      <c r="F442">
        <v>635.12</v>
      </c>
      <c r="G442">
        <v>0.32</v>
      </c>
      <c r="H442">
        <v>0</v>
      </c>
      <c r="I442" s="1">
        <v>45860</v>
      </c>
      <c r="J442" t="s">
        <v>31</v>
      </c>
      <c r="K442" t="s">
        <v>16</v>
      </c>
      <c r="L442">
        <v>-476.72</v>
      </c>
    </row>
    <row r="443" spans="1:12">
      <c r="A443">
        <v>1441</v>
      </c>
      <c r="B443" t="s">
        <v>490</v>
      </c>
      <c r="C443" t="s">
        <v>13</v>
      </c>
      <c r="D443" t="s">
        <v>14</v>
      </c>
      <c r="E443">
        <v>2</v>
      </c>
      <c r="F443">
        <v>2747.5450000000001</v>
      </c>
      <c r="G443">
        <v>0.6</v>
      </c>
      <c r="H443">
        <v>0</v>
      </c>
      <c r="I443" s="1">
        <v>45826</v>
      </c>
      <c r="J443" t="s">
        <v>27</v>
      </c>
      <c r="K443" t="s">
        <v>16</v>
      </c>
      <c r="L443">
        <v>-316.51</v>
      </c>
    </row>
    <row r="444" spans="1:12">
      <c r="A444">
        <v>1442</v>
      </c>
      <c r="B444" t="s">
        <v>491</v>
      </c>
      <c r="C444" t="s">
        <v>25</v>
      </c>
      <c r="D444" t="s">
        <v>63</v>
      </c>
      <c r="E444">
        <v>0</v>
      </c>
      <c r="F444">
        <v>3001.28</v>
      </c>
      <c r="G444">
        <v>0.6</v>
      </c>
      <c r="H444">
        <v>0</v>
      </c>
      <c r="I444" s="1">
        <v>45479</v>
      </c>
      <c r="J444" t="s">
        <v>15</v>
      </c>
      <c r="K444" t="s">
        <v>16</v>
      </c>
      <c r="L444">
        <v>1218.28</v>
      </c>
    </row>
    <row r="445" spans="1:12">
      <c r="A445">
        <v>1443</v>
      </c>
      <c r="B445" t="s">
        <v>492</v>
      </c>
      <c r="C445" t="s">
        <v>33</v>
      </c>
      <c r="D445" t="s">
        <v>34</v>
      </c>
      <c r="E445">
        <v>2</v>
      </c>
      <c r="F445">
        <v>2747.5450000000001</v>
      </c>
      <c r="G445">
        <v>0.6</v>
      </c>
      <c r="H445">
        <v>0</v>
      </c>
      <c r="I445" s="1">
        <v>45484</v>
      </c>
      <c r="J445" t="s">
        <v>27</v>
      </c>
      <c r="K445" t="s">
        <v>16</v>
      </c>
      <c r="L445">
        <v>2962.6</v>
      </c>
    </row>
    <row r="446" spans="1:12">
      <c r="A446">
        <v>1444</v>
      </c>
      <c r="B446" t="s">
        <v>493</v>
      </c>
      <c r="C446" t="s">
        <v>29</v>
      </c>
      <c r="D446" t="s">
        <v>117</v>
      </c>
      <c r="E446">
        <v>3</v>
      </c>
      <c r="F446">
        <v>3452.16</v>
      </c>
      <c r="G446">
        <v>0.6</v>
      </c>
      <c r="H446">
        <v>0</v>
      </c>
      <c r="I446" s="1">
        <v>45826</v>
      </c>
      <c r="J446" t="s">
        <v>22</v>
      </c>
      <c r="K446" t="s">
        <v>16</v>
      </c>
      <c r="L446">
        <v>810.8</v>
      </c>
    </row>
    <row r="447" spans="1:12">
      <c r="A447">
        <v>1445</v>
      </c>
      <c r="B447" t="s">
        <v>494</v>
      </c>
      <c r="C447" t="s">
        <v>20</v>
      </c>
      <c r="D447" t="s">
        <v>77</v>
      </c>
      <c r="E447">
        <v>2</v>
      </c>
      <c r="F447">
        <v>1370.36</v>
      </c>
      <c r="G447">
        <v>0.54</v>
      </c>
      <c r="H447">
        <v>0</v>
      </c>
      <c r="I447" s="1">
        <v>45827</v>
      </c>
      <c r="J447" t="s">
        <v>22</v>
      </c>
      <c r="K447" t="s">
        <v>16</v>
      </c>
      <c r="L447">
        <v>2846.13</v>
      </c>
    </row>
    <row r="448" spans="1:12">
      <c r="A448">
        <v>1446</v>
      </c>
      <c r="B448" t="s">
        <v>495</v>
      </c>
      <c r="C448" t="s">
        <v>25</v>
      </c>
      <c r="D448" t="s">
        <v>26</v>
      </c>
      <c r="E448">
        <v>2</v>
      </c>
      <c r="F448">
        <v>2827.68</v>
      </c>
      <c r="G448">
        <v>0.86</v>
      </c>
      <c r="H448">
        <v>0</v>
      </c>
      <c r="I448" s="1">
        <v>45519</v>
      </c>
      <c r="J448" t="s">
        <v>15</v>
      </c>
      <c r="K448" t="s">
        <v>16</v>
      </c>
      <c r="L448">
        <v>-602.57000000000005</v>
      </c>
    </row>
    <row r="449" spans="1:12">
      <c r="A449">
        <v>1031</v>
      </c>
      <c r="B449" t="s">
        <v>496</v>
      </c>
      <c r="C449" t="s">
        <v>33</v>
      </c>
      <c r="D449" t="s">
        <v>69</v>
      </c>
      <c r="E449">
        <v>6</v>
      </c>
      <c r="F449">
        <v>3792.09</v>
      </c>
      <c r="G449">
        <v>0.6</v>
      </c>
      <c r="H449">
        <v>0</v>
      </c>
      <c r="I449" s="1">
        <v>45263</v>
      </c>
      <c r="J449" t="s">
        <v>27</v>
      </c>
      <c r="K449" t="s">
        <v>16</v>
      </c>
      <c r="L449">
        <v>194.31</v>
      </c>
    </row>
    <row r="450" spans="1:12">
      <c r="A450">
        <v>1448</v>
      </c>
      <c r="B450" t="s">
        <v>497</v>
      </c>
      <c r="C450" t="s">
        <v>13</v>
      </c>
      <c r="D450" t="s">
        <v>14</v>
      </c>
      <c r="E450">
        <v>2</v>
      </c>
      <c r="F450">
        <v>1657.95</v>
      </c>
      <c r="G450">
        <v>0.6</v>
      </c>
      <c r="H450">
        <v>0</v>
      </c>
      <c r="I450" s="1">
        <v>45269</v>
      </c>
      <c r="J450" t="s">
        <v>45</v>
      </c>
      <c r="K450" t="s">
        <v>23</v>
      </c>
      <c r="L450">
        <v>1948.49</v>
      </c>
    </row>
    <row r="451" spans="1:12">
      <c r="A451">
        <v>1449</v>
      </c>
      <c r="B451" t="s">
        <v>498</v>
      </c>
      <c r="C451" t="s">
        <v>13</v>
      </c>
      <c r="D451" t="s">
        <v>48</v>
      </c>
      <c r="E451">
        <v>2</v>
      </c>
      <c r="F451">
        <v>2855.53</v>
      </c>
      <c r="G451">
        <v>0.55000000000000004</v>
      </c>
      <c r="H451">
        <v>0</v>
      </c>
      <c r="I451" s="1">
        <v>45707</v>
      </c>
      <c r="J451" t="s">
        <v>18</v>
      </c>
      <c r="K451" t="s">
        <v>16</v>
      </c>
      <c r="L451">
        <v>2598.7399999999998</v>
      </c>
    </row>
    <row r="452" spans="1:12">
      <c r="A452">
        <v>1043</v>
      </c>
      <c r="B452" t="s">
        <v>499</v>
      </c>
      <c r="C452" t="s">
        <v>33</v>
      </c>
      <c r="D452" t="s">
        <v>79</v>
      </c>
      <c r="E452">
        <v>4</v>
      </c>
      <c r="F452">
        <v>2747.5450000000001</v>
      </c>
      <c r="G452">
        <v>0.6</v>
      </c>
      <c r="H452">
        <v>0</v>
      </c>
      <c r="I452" s="1">
        <v>45456</v>
      </c>
      <c r="J452" t="s">
        <v>15</v>
      </c>
      <c r="K452" t="s">
        <v>16</v>
      </c>
      <c r="L452">
        <v>-401.44</v>
      </c>
    </row>
    <row r="453" spans="1:12">
      <c r="A453">
        <v>1451</v>
      </c>
      <c r="B453" t="s">
        <v>500</v>
      </c>
      <c r="C453" t="s">
        <v>25</v>
      </c>
      <c r="D453" t="s">
        <v>63</v>
      </c>
      <c r="E453">
        <v>2</v>
      </c>
      <c r="F453">
        <v>620.64</v>
      </c>
      <c r="G453">
        <v>0.6</v>
      </c>
      <c r="H453">
        <v>0</v>
      </c>
      <c r="I453" s="1">
        <v>45801</v>
      </c>
      <c r="J453" t="s">
        <v>31</v>
      </c>
      <c r="K453" t="s">
        <v>16</v>
      </c>
      <c r="L453">
        <v>1553.39</v>
      </c>
    </row>
    <row r="454" spans="1:12">
      <c r="A454">
        <v>1452</v>
      </c>
      <c r="B454" t="s">
        <v>501</v>
      </c>
      <c r="C454" t="s">
        <v>29</v>
      </c>
      <c r="D454" t="s">
        <v>41</v>
      </c>
      <c r="E454">
        <v>-2</v>
      </c>
      <c r="F454">
        <v>2660.28</v>
      </c>
      <c r="G454">
        <v>0.34</v>
      </c>
      <c r="H454">
        <v>-3511.57</v>
      </c>
      <c r="I454" s="1">
        <v>45826</v>
      </c>
      <c r="J454" t="s">
        <v>15</v>
      </c>
      <c r="K454" t="s">
        <v>16</v>
      </c>
      <c r="L454">
        <v>918.54</v>
      </c>
    </row>
    <row r="455" spans="1:12">
      <c r="A455">
        <v>1453</v>
      </c>
      <c r="B455" t="s">
        <v>502</v>
      </c>
      <c r="C455" t="s">
        <v>13</v>
      </c>
      <c r="D455" t="s">
        <v>48</v>
      </c>
      <c r="E455">
        <v>0</v>
      </c>
      <c r="F455">
        <v>2747.5450000000001</v>
      </c>
      <c r="G455">
        <v>0.18</v>
      </c>
      <c r="H455">
        <v>0</v>
      </c>
      <c r="I455" s="1">
        <v>45633</v>
      </c>
      <c r="J455" t="s">
        <v>27</v>
      </c>
      <c r="K455" t="s">
        <v>23</v>
      </c>
      <c r="L455">
        <v>1465.97</v>
      </c>
    </row>
    <row r="456" spans="1:12">
      <c r="A456">
        <v>1454</v>
      </c>
      <c r="B456" t="s">
        <v>503</v>
      </c>
      <c r="C456" t="s">
        <v>29</v>
      </c>
      <c r="D456" t="s">
        <v>41</v>
      </c>
      <c r="E456">
        <v>2</v>
      </c>
      <c r="F456">
        <v>4523.58</v>
      </c>
      <c r="G456">
        <v>0.6</v>
      </c>
      <c r="H456">
        <v>0</v>
      </c>
      <c r="I456" s="1">
        <v>45495</v>
      </c>
      <c r="J456" t="s">
        <v>45</v>
      </c>
      <c r="K456" t="s">
        <v>16</v>
      </c>
      <c r="L456">
        <v>2424.44</v>
      </c>
    </row>
    <row r="457" spans="1:12">
      <c r="A457">
        <v>1455</v>
      </c>
      <c r="B457" t="s">
        <v>504</v>
      </c>
      <c r="C457" t="s">
        <v>33</v>
      </c>
      <c r="D457" t="s">
        <v>69</v>
      </c>
      <c r="E457">
        <v>2</v>
      </c>
      <c r="F457">
        <v>2747.5450000000001</v>
      </c>
      <c r="G457">
        <v>0.6</v>
      </c>
      <c r="H457">
        <v>0</v>
      </c>
      <c r="I457" s="1">
        <v>45629</v>
      </c>
      <c r="J457" t="s">
        <v>15</v>
      </c>
      <c r="K457" t="s">
        <v>16</v>
      </c>
      <c r="L457">
        <v>743.47</v>
      </c>
    </row>
    <row r="458" spans="1:12">
      <c r="A458">
        <v>1456</v>
      </c>
      <c r="B458" t="s">
        <v>505</v>
      </c>
      <c r="C458" t="s">
        <v>33</v>
      </c>
      <c r="D458" t="s">
        <v>79</v>
      </c>
      <c r="E458">
        <v>2</v>
      </c>
      <c r="F458">
        <v>2747.5450000000001</v>
      </c>
      <c r="G458">
        <v>0.6</v>
      </c>
      <c r="H458">
        <v>0</v>
      </c>
      <c r="I458" s="1">
        <v>45702</v>
      </c>
      <c r="J458" t="s">
        <v>27</v>
      </c>
      <c r="K458" t="s">
        <v>16</v>
      </c>
      <c r="L458">
        <v>1350.12</v>
      </c>
    </row>
    <row r="459" spans="1:12">
      <c r="A459">
        <v>1457</v>
      </c>
      <c r="B459" t="s">
        <v>506</v>
      </c>
      <c r="C459" t="s">
        <v>29</v>
      </c>
      <c r="D459" t="s">
        <v>117</v>
      </c>
      <c r="E459">
        <v>0</v>
      </c>
      <c r="F459">
        <v>2342.25</v>
      </c>
      <c r="G459">
        <v>0.6</v>
      </c>
      <c r="H459">
        <v>0</v>
      </c>
      <c r="I459" s="1">
        <v>45826</v>
      </c>
      <c r="J459" t="s">
        <v>27</v>
      </c>
      <c r="K459" t="s">
        <v>23</v>
      </c>
      <c r="L459">
        <v>750.64</v>
      </c>
    </row>
    <row r="460" spans="1:12">
      <c r="A460">
        <v>1458</v>
      </c>
      <c r="B460" t="s">
        <v>507</v>
      </c>
      <c r="C460" t="s">
        <v>20</v>
      </c>
      <c r="D460" t="s">
        <v>21</v>
      </c>
      <c r="E460">
        <v>6</v>
      </c>
      <c r="F460">
        <v>2747.5450000000001</v>
      </c>
      <c r="G460">
        <v>0.27</v>
      </c>
      <c r="H460">
        <v>0</v>
      </c>
      <c r="I460" s="1">
        <v>45826</v>
      </c>
      <c r="J460" t="s">
        <v>22</v>
      </c>
      <c r="K460" t="s">
        <v>16</v>
      </c>
      <c r="L460">
        <v>1877.22</v>
      </c>
    </row>
    <row r="461" spans="1:12">
      <c r="A461">
        <v>1459</v>
      </c>
      <c r="B461" t="s">
        <v>508</v>
      </c>
      <c r="C461" t="s">
        <v>29</v>
      </c>
      <c r="D461" t="s">
        <v>41</v>
      </c>
      <c r="E461">
        <v>2</v>
      </c>
      <c r="F461">
        <v>2494.9899999999998</v>
      </c>
      <c r="G461">
        <v>0.98</v>
      </c>
      <c r="H461">
        <v>0</v>
      </c>
      <c r="I461" s="1">
        <v>45308</v>
      </c>
      <c r="J461" t="s">
        <v>45</v>
      </c>
      <c r="K461" t="s">
        <v>16</v>
      </c>
      <c r="L461">
        <v>2959.95</v>
      </c>
    </row>
    <row r="462" spans="1:12">
      <c r="A462">
        <v>1460</v>
      </c>
      <c r="B462" t="s">
        <v>509</v>
      </c>
      <c r="C462" t="s">
        <v>20</v>
      </c>
      <c r="D462" t="s">
        <v>119</v>
      </c>
      <c r="E462">
        <v>2</v>
      </c>
      <c r="F462">
        <v>4264.16</v>
      </c>
      <c r="G462">
        <v>0.6</v>
      </c>
      <c r="H462">
        <v>0</v>
      </c>
      <c r="I462" s="1">
        <v>45577</v>
      </c>
      <c r="J462" t="s">
        <v>15</v>
      </c>
      <c r="K462" t="s">
        <v>23</v>
      </c>
      <c r="L462">
        <v>921.96</v>
      </c>
    </row>
    <row r="463" spans="1:12">
      <c r="A463">
        <v>1461</v>
      </c>
      <c r="B463" t="s">
        <v>510</v>
      </c>
      <c r="C463" t="s">
        <v>38</v>
      </c>
      <c r="D463" t="s">
        <v>39</v>
      </c>
      <c r="E463">
        <v>2</v>
      </c>
      <c r="F463">
        <v>2708.35</v>
      </c>
      <c r="G463">
        <v>1.06</v>
      </c>
      <c r="H463">
        <v>0</v>
      </c>
      <c r="I463" s="1">
        <v>45826</v>
      </c>
      <c r="J463" t="s">
        <v>31</v>
      </c>
      <c r="K463" t="s">
        <v>16</v>
      </c>
      <c r="L463">
        <v>941.87</v>
      </c>
    </row>
    <row r="464" spans="1:12">
      <c r="A464">
        <v>1462</v>
      </c>
      <c r="B464" t="s">
        <v>511</v>
      </c>
      <c r="C464" t="s">
        <v>20</v>
      </c>
      <c r="D464" t="s">
        <v>21</v>
      </c>
      <c r="E464">
        <v>-1</v>
      </c>
      <c r="F464">
        <v>2747.5450000000001</v>
      </c>
      <c r="G464">
        <v>0.6</v>
      </c>
      <c r="H464">
        <v>0</v>
      </c>
      <c r="I464" s="1">
        <v>45725</v>
      </c>
      <c r="J464" t="s">
        <v>15</v>
      </c>
      <c r="K464" t="s">
        <v>16</v>
      </c>
      <c r="L464">
        <v>372.63</v>
      </c>
    </row>
    <row r="465" spans="1:12">
      <c r="A465">
        <v>1463</v>
      </c>
      <c r="B465" t="s">
        <v>512</v>
      </c>
      <c r="C465" t="s">
        <v>38</v>
      </c>
      <c r="D465" t="s">
        <v>60</v>
      </c>
      <c r="E465">
        <v>1</v>
      </c>
      <c r="F465">
        <v>4606.09</v>
      </c>
      <c r="G465">
        <v>1.1200000000000001</v>
      </c>
      <c r="H465">
        <v>-552.73</v>
      </c>
      <c r="I465" s="1">
        <v>45825</v>
      </c>
      <c r="J465" t="s">
        <v>15</v>
      </c>
      <c r="K465" t="s">
        <v>23</v>
      </c>
      <c r="L465">
        <v>-877.13</v>
      </c>
    </row>
    <row r="466" spans="1:12">
      <c r="A466">
        <v>1464</v>
      </c>
      <c r="B466" t="s">
        <v>513</v>
      </c>
      <c r="C466" t="s">
        <v>38</v>
      </c>
      <c r="D466" t="s">
        <v>60</v>
      </c>
      <c r="E466">
        <v>2</v>
      </c>
      <c r="F466">
        <v>2747.5450000000001</v>
      </c>
      <c r="G466">
        <v>0.6</v>
      </c>
      <c r="H466">
        <v>0</v>
      </c>
      <c r="I466" s="1">
        <v>45783</v>
      </c>
      <c r="J466" t="s">
        <v>27</v>
      </c>
      <c r="K466" t="s">
        <v>16</v>
      </c>
      <c r="L466">
        <v>837.3</v>
      </c>
    </row>
    <row r="467" spans="1:12">
      <c r="A467">
        <v>1465</v>
      </c>
      <c r="B467" t="s">
        <v>514</v>
      </c>
      <c r="C467" t="s">
        <v>29</v>
      </c>
      <c r="D467" t="s">
        <v>30</v>
      </c>
      <c r="E467">
        <v>-2</v>
      </c>
      <c r="F467">
        <v>2215.4</v>
      </c>
      <c r="G467">
        <v>0.96</v>
      </c>
      <c r="H467">
        <v>-177.23</v>
      </c>
      <c r="I467" s="1">
        <v>45708</v>
      </c>
      <c r="J467" t="s">
        <v>31</v>
      </c>
      <c r="K467" t="s">
        <v>16</v>
      </c>
      <c r="L467">
        <v>-85.73</v>
      </c>
    </row>
    <row r="468" spans="1:12">
      <c r="A468">
        <v>1014</v>
      </c>
      <c r="B468" t="s">
        <v>515</v>
      </c>
      <c r="C468" t="s">
        <v>38</v>
      </c>
      <c r="D468" t="s">
        <v>60</v>
      </c>
      <c r="E468">
        <v>2</v>
      </c>
      <c r="F468">
        <v>3172.11</v>
      </c>
      <c r="G468">
        <v>0.6</v>
      </c>
      <c r="H468">
        <v>0</v>
      </c>
      <c r="I468" s="1">
        <v>45176</v>
      </c>
      <c r="J468" t="s">
        <v>22</v>
      </c>
      <c r="K468" t="s">
        <v>16</v>
      </c>
      <c r="L468">
        <v>673.33</v>
      </c>
    </row>
    <row r="469" spans="1:12">
      <c r="A469">
        <v>1030</v>
      </c>
      <c r="B469" t="s">
        <v>516</v>
      </c>
      <c r="C469" t="s">
        <v>25</v>
      </c>
      <c r="D469" t="s">
        <v>52</v>
      </c>
      <c r="E469">
        <v>2</v>
      </c>
      <c r="F469">
        <v>3389.44</v>
      </c>
      <c r="G469">
        <v>0.09</v>
      </c>
      <c r="H469">
        <v>0</v>
      </c>
      <c r="I469" s="1">
        <v>45628</v>
      </c>
      <c r="J469" t="s">
        <v>15</v>
      </c>
      <c r="K469" t="s">
        <v>23</v>
      </c>
      <c r="L469">
        <v>1663.45</v>
      </c>
    </row>
    <row r="470" spans="1:12">
      <c r="A470">
        <v>1468</v>
      </c>
      <c r="B470" t="s">
        <v>517</v>
      </c>
      <c r="C470" t="s">
        <v>33</v>
      </c>
      <c r="D470" t="s">
        <v>79</v>
      </c>
      <c r="E470">
        <v>2</v>
      </c>
      <c r="F470">
        <v>3332.84</v>
      </c>
      <c r="G470">
        <v>0.27</v>
      </c>
      <c r="H470">
        <v>0</v>
      </c>
      <c r="I470" s="1">
        <v>45153</v>
      </c>
      <c r="J470" t="s">
        <v>18</v>
      </c>
      <c r="K470" t="s">
        <v>16</v>
      </c>
      <c r="L470">
        <v>733.66</v>
      </c>
    </row>
    <row r="471" spans="1:12">
      <c r="A471">
        <v>1469</v>
      </c>
      <c r="B471" t="s">
        <v>518</v>
      </c>
      <c r="C471" t="s">
        <v>38</v>
      </c>
      <c r="D471" t="s">
        <v>60</v>
      </c>
      <c r="E471">
        <v>2</v>
      </c>
      <c r="F471">
        <v>2665.7</v>
      </c>
      <c r="G471">
        <v>0.49</v>
      </c>
      <c r="H471">
        <v>0</v>
      </c>
      <c r="I471" s="1">
        <v>45682</v>
      </c>
      <c r="J471" t="s">
        <v>27</v>
      </c>
      <c r="K471" t="s">
        <v>23</v>
      </c>
      <c r="L471">
        <v>1644.72</v>
      </c>
    </row>
    <row r="472" spans="1:12">
      <c r="A472">
        <v>1470</v>
      </c>
      <c r="B472" t="s">
        <v>519</v>
      </c>
      <c r="C472" t="s">
        <v>33</v>
      </c>
      <c r="D472" t="s">
        <v>43</v>
      </c>
      <c r="E472">
        <v>-1</v>
      </c>
      <c r="F472">
        <v>1376.54</v>
      </c>
      <c r="G472">
        <v>0.6</v>
      </c>
      <c r="H472">
        <v>0</v>
      </c>
      <c r="I472" s="1">
        <v>45826</v>
      </c>
      <c r="J472" t="s">
        <v>31</v>
      </c>
      <c r="K472" t="s">
        <v>16</v>
      </c>
      <c r="L472">
        <v>0.59</v>
      </c>
    </row>
    <row r="473" spans="1:12">
      <c r="A473">
        <v>1471</v>
      </c>
      <c r="B473" t="s">
        <v>520</v>
      </c>
      <c r="C473" t="s">
        <v>29</v>
      </c>
      <c r="D473" t="s">
        <v>30</v>
      </c>
      <c r="E473">
        <v>-2</v>
      </c>
      <c r="F473">
        <v>4882.03</v>
      </c>
      <c r="G473">
        <v>0.23</v>
      </c>
      <c r="H473">
        <v>-7518.33</v>
      </c>
      <c r="I473" s="1">
        <v>45159</v>
      </c>
      <c r="J473" t="s">
        <v>31</v>
      </c>
      <c r="K473" t="s">
        <v>16</v>
      </c>
      <c r="L473">
        <v>-605.66999999999996</v>
      </c>
    </row>
    <row r="474" spans="1:12">
      <c r="A474">
        <v>1472</v>
      </c>
      <c r="B474" t="s">
        <v>521</v>
      </c>
      <c r="C474" t="s">
        <v>29</v>
      </c>
      <c r="D474" t="s">
        <v>30</v>
      </c>
      <c r="E474">
        <v>2</v>
      </c>
      <c r="F474">
        <v>2747.5450000000001</v>
      </c>
      <c r="G474">
        <v>1.01</v>
      </c>
      <c r="H474">
        <v>0</v>
      </c>
      <c r="I474" s="1">
        <v>45591</v>
      </c>
      <c r="J474" t="s">
        <v>22</v>
      </c>
      <c r="K474" t="s">
        <v>16</v>
      </c>
      <c r="L474">
        <v>-69.28</v>
      </c>
    </row>
    <row r="475" spans="1:12">
      <c r="A475">
        <v>1473</v>
      </c>
      <c r="B475" t="s">
        <v>522</v>
      </c>
      <c r="C475" t="s">
        <v>33</v>
      </c>
      <c r="D475" t="s">
        <v>79</v>
      </c>
      <c r="E475">
        <v>2</v>
      </c>
      <c r="F475">
        <v>2747.5450000000001</v>
      </c>
      <c r="G475">
        <v>0.08</v>
      </c>
      <c r="H475">
        <v>0</v>
      </c>
      <c r="I475" s="1">
        <v>45826</v>
      </c>
      <c r="J475" t="s">
        <v>27</v>
      </c>
      <c r="K475" t="s">
        <v>16</v>
      </c>
      <c r="L475">
        <v>1769.11</v>
      </c>
    </row>
    <row r="476" spans="1:12">
      <c r="A476">
        <v>1474</v>
      </c>
      <c r="B476" t="s">
        <v>523</v>
      </c>
      <c r="C476" t="s">
        <v>20</v>
      </c>
      <c r="D476" t="s">
        <v>85</v>
      </c>
      <c r="E476">
        <v>4</v>
      </c>
      <c r="F476">
        <v>2747.5450000000001</v>
      </c>
      <c r="G476">
        <v>0.6</v>
      </c>
      <c r="H476">
        <v>0</v>
      </c>
      <c r="I476" s="1">
        <v>45681</v>
      </c>
      <c r="J476" t="s">
        <v>27</v>
      </c>
      <c r="K476" t="s">
        <v>16</v>
      </c>
      <c r="L476">
        <v>1791.38</v>
      </c>
    </row>
    <row r="477" spans="1:12">
      <c r="A477">
        <v>1475</v>
      </c>
      <c r="B477" t="s">
        <v>524</v>
      </c>
      <c r="C477" t="s">
        <v>33</v>
      </c>
      <c r="D477" t="s">
        <v>43</v>
      </c>
      <c r="E477">
        <v>-2</v>
      </c>
      <c r="F477">
        <v>3692.25</v>
      </c>
      <c r="G477">
        <v>0.6</v>
      </c>
      <c r="H477">
        <v>0</v>
      </c>
      <c r="I477" s="1">
        <v>45607</v>
      </c>
      <c r="J477" t="s">
        <v>22</v>
      </c>
      <c r="K477" t="s">
        <v>16</v>
      </c>
      <c r="L477">
        <v>433.87</v>
      </c>
    </row>
    <row r="478" spans="1:12">
      <c r="A478">
        <v>1476</v>
      </c>
      <c r="B478" t="s">
        <v>525</v>
      </c>
      <c r="C478" t="s">
        <v>13</v>
      </c>
      <c r="D478" t="s">
        <v>99</v>
      </c>
      <c r="E478">
        <v>5</v>
      </c>
      <c r="F478">
        <v>2747.5450000000001</v>
      </c>
      <c r="G478">
        <v>0.56999999999999995</v>
      </c>
      <c r="H478">
        <v>0</v>
      </c>
      <c r="I478" s="1">
        <v>45859</v>
      </c>
      <c r="J478" t="s">
        <v>27</v>
      </c>
      <c r="K478" t="s">
        <v>16</v>
      </c>
      <c r="L478">
        <v>1476.41</v>
      </c>
    </row>
    <row r="479" spans="1:12">
      <c r="A479">
        <v>1477</v>
      </c>
      <c r="B479" t="s">
        <v>526</v>
      </c>
      <c r="C479" t="s">
        <v>38</v>
      </c>
      <c r="D479" t="s">
        <v>88</v>
      </c>
      <c r="E479">
        <v>2</v>
      </c>
      <c r="F479">
        <v>2277.1999999999998</v>
      </c>
      <c r="G479">
        <v>0.6</v>
      </c>
      <c r="H479">
        <v>0</v>
      </c>
      <c r="I479" s="1">
        <v>45749</v>
      </c>
      <c r="J479" t="s">
        <v>31</v>
      </c>
      <c r="K479" t="s">
        <v>16</v>
      </c>
      <c r="L479">
        <v>1295.82</v>
      </c>
    </row>
    <row r="480" spans="1:12">
      <c r="A480">
        <v>1478</v>
      </c>
      <c r="B480" t="s">
        <v>527</v>
      </c>
      <c r="C480" t="s">
        <v>20</v>
      </c>
      <c r="D480" t="s">
        <v>85</v>
      </c>
      <c r="E480">
        <v>2</v>
      </c>
      <c r="F480">
        <v>2277.41</v>
      </c>
      <c r="G480">
        <v>0.6</v>
      </c>
      <c r="H480">
        <v>0</v>
      </c>
      <c r="I480" s="1">
        <v>45491</v>
      </c>
      <c r="J480" t="s">
        <v>18</v>
      </c>
      <c r="K480" t="s">
        <v>16</v>
      </c>
      <c r="L480">
        <v>-584.69000000000005</v>
      </c>
    </row>
    <row r="481" spans="1:12">
      <c r="A481">
        <v>1479</v>
      </c>
      <c r="B481" t="s">
        <v>528</v>
      </c>
      <c r="C481" t="s">
        <v>38</v>
      </c>
      <c r="D481" t="s">
        <v>56</v>
      </c>
      <c r="E481">
        <v>1</v>
      </c>
      <c r="F481">
        <v>2747.5450000000001</v>
      </c>
      <c r="G481">
        <v>0.6</v>
      </c>
      <c r="H481">
        <v>0</v>
      </c>
      <c r="I481" s="1">
        <v>45826</v>
      </c>
      <c r="J481" t="s">
        <v>18</v>
      </c>
      <c r="K481" t="s">
        <v>16</v>
      </c>
      <c r="L481">
        <v>-575.87</v>
      </c>
    </row>
    <row r="482" spans="1:12">
      <c r="A482">
        <v>1480</v>
      </c>
      <c r="B482" t="s">
        <v>529</v>
      </c>
      <c r="C482" t="s">
        <v>20</v>
      </c>
      <c r="D482" t="s">
        <v>85</v>
      </c>
      <c r="E482">
        <v>2</v>
      </c>
      <c r="F482">
        <v>755.42</v>
      </c>
      <c r="G482">
        <v>0.6</v>
      </c>
      <c r="H482">
        <v>0</v>
      </c>
      <c r="I482" s="1">
        <v>45420</v>
      </c>
      <c r="J482" t="s">
        <v>45</v>
      </c>
      <c r="K482" t="s">
        <v>16</v>
      </c>
      <c r="L482">
        <v>2956.26</v>
      </c>
    </row>
    <row r="483" spans="1:12">
      <c r="A483">
        <v>1481</v>
      </c>
      <c r="B483" t="s">
        <v>530</v>
      </c>
      <c r="C483" t="s">
        <v>29</v>
      </c>
      <c r="D483" t="s">
        <v>117</v>
      </c>
      <c r="E483">
        <v>2</v>
      </c>
      <c r="F483">
        <v>2747.5450000000001</v>
      </c>
      <c r="G483">
        <v>0.97</v>
      </c>
      <c r="H483">
        <v>0</v>
      </c>
      <c r="I483" s="1">
        <v>45826</v>
      </c>
      <c r="J483" t="s">
        <v>15</v>
      </c>
      <c r="K483" t="s">
        <v>16</v>
      </c>
      <c r="L483">
        <v>375</v>
      </c>
    </row>
    <row r="484" spans="1:12">
      <c r="A484">
        <v>1482</v>
      </c>
      <c r="B484" t="s">
        <v>531</v>
      </c>
      <c r="C484" t="s">
        <v>25</v>
      </c>
      <c r="D484" t="s">
        <v>63</v>
      </c>
      <c r="E484">
        <v>2</v>
      </c>
      <c r="F484">
        <v>1269.51</v>
      </c>
      <c r="G484">
        <v>0.6</v>
      </c>
      <c r="H484">
        <v>0</v>
      </c>
      <c r="I484" s="1">
        <v>45742</v>
      </c>
      <c r="J484" t="s">
        <v>18</v>
      </c>
      <c r="K484" t="s">
        <v>16</v>
      </c>
      <c r="L484">
        <v>480.43</v>
      </c>
    </row>
    <row r="485" spans="1:12">
      <c r="A485">
        <v>1483</v>
      </c>
      <c r="B485" t="s">
        <v>532</v>
      </c>
      <c r="C485" t="s">
        <v>33</v>
      </c>
      <c r="D485" t="s">
        <v>43</v>
      </c>
      <c r="E485">
        <v>2</v>
      </c>
      <c r="F485">
        <v>2347.19</v>
      </c>
      <c r="G485">
        <v>0.6</v>
      </c>
      <c r="H485">
        <v>0</v>
      </c>
      <c r="I485" s="1">
        <v>45577</v>
      </c>
      <c r="J485" t="s">
        <v>27</v>
      </c>
      <c r="K485" t="s">
        <v>16</v>
      </c>
      <c r="L485">
        <v>2870.3</v>
      </c>
    </row>
    <row r="486" spans="1:12">
      <c r="A486">
        <v>1484</v>
      </c>
      <c r="B486" t="s">
        <v>533</v>
      </c>
      <c r="C486" t="s">
        <v>20</v>
      </c>
      <c r="D486" t="s">
        <v>77</v>
      </c>
      <c r="E486">
        <v>2</v>
      </c>
      <c r="F486">
        <v>818.68</v>
      </c>
      <c r="G486">
        <v>0.6</v>
      </c>
      <c r="H486">
        <v>0</v>
      </c>
      <c r="I486" s="1">
        <v>45289</v>
      </c>
      <c r="J486" t="s">
        <v>22</v>
      </c>
      <c r="K486" t="s">
        <v>16</v>
      </c>
      <c r="L486">
        <v>2357.7399999999998</v>
      </c>
    </row>
    <row r="487" spans="1:12">
      <c r="A487">
        <v>1485</v>
      </c>
      <c r="B487" t="s">
        <v>534</v>
      </c>
      <c r="C487" t="s">
        <v>25</v>
      </c>
      <c r="D487" t="s">
        <v>52</v>
      </c>
      <c r="E487">
        <v>2</v>
      </c>
      <c r="F487">
        <v>2747.5450000000001</v>
      </c>
      <c r="G487">
        <v>0.6</v>
      </c>
      <c r="H487">
        <v>0</v>
      </c>
      <c r="I487" s="1">
        <v>45510</v>
      </c>
      <c r="J487" t="s">
        <v>31</v>
      </c>
      <c r="K487" t="s">
        <v>23</v>
      </c>
      <c r="L487">
        <v>672.88</v>
      </c>
    </row>
    <row r="488" spans="1:12">
      <c r="A488">
        <v>1486</v>
      </c>
      <c r="B488" t="s">
        <v>535</v>
      </c>
      <c r="C488" t="s">
        <v>13</v>
      </c>
      <c r="D488" t="s">
        <v>99</v>
      </c>
      <c r="E488">
        <v>6</v>
      </c>
      <c r="F488">
        <v>2747.5450000000001</v>
      </c>
      <c r="G488">
        <v>0.6</v>
      </c>
      <c r="H488">
        <v>0</v>
      </c>
      <c r="I488" s="1">
        <v>45826</v>
      </c>
      <c r="J488" t="s">
        <v>22</v>
      </c>
      <c r="K488" t="s">
        <v>23</v>
      </c>
      <c r="L488">
        <v>2745.83</v>
      </c>
    </row>
    <row r="489" spans="1:12">
      <c r="A489">
        <v>1487</v>
      </c>
      <c r="B489" t="s">
        <v>536</v>
      </c>
      <c r="C489" t="s">
        <v>29</v>
      </c>
      <c r="D489" t="s">
        <v>41</v>
      </c>
      <c r="E489">
        <v>6</v>
      </c>
      <c r="F489">
        <v>1234.08</v>
      </c>
      <c r="G489">
        <v>0.71</v>
      </c>
      <c r="H489">
        <v>2147.3000000000002</v>
      </c>
      <c r="I489" s="1">
        <v>45366</v>
      </c>
      <c r="J489" t="s">
        <v>15</v>
      </c>
      <c r="K489" t="s">
        <v>16</v>
      </c>
      <c r="L489">
        <v>-849.81</v>
      </c>
    </row>
    <row r="490" spans="1:12">
      <c r="A490">
        <v>1488</v>
      </c>
      <c r="B490" t="s">
        <v>537</v>
      </c>
      <c r="C490" t="s">
        <v>29</v>
      </c>
      <c r="D490" t="s">
        <v>138</v>
      </c>
      <c r="E490">
        <v>2</v>
      </c>
      <c r="F490">
        <v>4925.93</v>
      </c>
      <c r="G490">
        <v>0.6</v>
      </c>
      <c r="H490">
        <v>0</v>
      </c>
      <c r="I490" s="1">
        <v>45774</v>
      </c>
      <c r="J490" t="s">
        <v>27</v>
      </c>
      <c r="K490" t="s">
        <v>16</v>
      </c>
      <c r="L490">
        <v>2121.1999999999998</v>
      </c>
    </row>
    <row r="491" spans="1:12">
      <c r="A491">
        <v>1489</v>
      </c>
      <c r="B491" t="s">
        <v>538</v>
      </c>
      <c r="C491" t="s">
        <v>25</v>
      </c>
      <c r="D491" t="s">
        <v>52</v>
      </c>
      <c r="E491">
        <v>-2</v>
      </c>
      <c r="F491">
        <v>2747.5450000000001</v>
      </c>
      <c r="G491">
        <v>0.6</v>
      </c>
      <c r="H491">
        <v>0</v>
      </c>
      <c r="I491" s="1">
        <v>45785</v>
      </c>
      <c r="J491" t="s">
        <v>45</v>
      </c>
      <c r="K491" t="s">
        <v>23</v>
      </c>
      <c r="L491">
        <v>2102.1999999999998</v>
      </c>
    </row>
    <row r="492" spans="1:12">
      <c r="A492">
        <v>1490</v>
      </c>
      <c r="B492" t="s">
        <v>539</v>
      </c>
      <c r="C492" t="s">
        <v>33</v>
      </c>
      <c r="D492" t="s">
        <v>69</v>
      </c>
      <c r="E492">
        <v>1</v>
      </c>
      <c r="F492">
        <v>2747.5450000000001</v>
      </c>
      <c r="G492">
        <v>0.6</v>
      </c>
      <c r="H492">
        <v>0</v>
      </c>
      <c r="I492" s="1">
        <v>45547</v>
      </c>
      <c r="J492" t="s">
        <v>15</v>
      </c>
      <c r="K492" t="s">
        <v>16</v>
      </c>
      <c r="L492">
        <v>230.97</v>
      </c>
    </row>
    <row r="493" spans="1:12">
      <c r="A493">
        <v>1491</v>
      </c>
      <c r="B493" t="s">
        <v>540</v>
      </c>
      <c r="C493" t="s">
        <v>25</v>
      </c>
      <c r="D493" t="s">
        <v>52</v>
      </c>
      <c r="E493">
        <v>1</v>
      </c>
      <c r="F493">
        <v>2747.5450000000001</v>
      </c>
      <c r="G493">
        <v>0.28999999999999998</v>
      </c>
      <c r="H493">
        <v>0</v>
      </c>
      <c r="I493" s="1">
        <v>45826</v>
      </c>
      <c r="J493" t="s">
        <v>27</v>
      </c>
      <c r="K493" t="s">
        <v>23</v>
      </c>
      <c r="L493">
        <v>2039.1</v>
      </c>
    </row>
    <row r="494" spans="1:12">
      <c r="A494">
        <v>1492</v>
      </c>
      <c r="B494" t="s">
        <v>541</v>
      </c>
      <c r="C494" t="s">
        <v>33</v>
      </c>
      <c r="D494" t="s">
        <v>69</v>
      </c>
      <c r="E494">
        <v>2</v>
      </c>
      <c r="F494">
        <v>2747.5450000000001</v>
      </c>
      <c r="G494">
        <v>1.07</v>
      </c>
      <c r="H494">
        <v>0</v>
      </c>
      <c r="I494" s="1">
        <v>45826</v>
      </c>
      <c r="J494" t="s">
        <v>31</v>
      </c>
      <c r="K494" t="s">
        <v>23</v>
      </c>
      <c r="L494">
        <v>-308.83</v>
      </c>
    </row>
    <row r="495" spans="1:12">
      <c r="A495">
        <v>1493</v>
      </c>
      <c r="B495" t="s">
        <v>542</v>
      </c>
      <c r="C495" t="s">
        <v>38</v>
      </c>
      <c r="D495" t="s">
        <v>60</v>
      </c>
      <c r="E495">
        <v>2</v>
      </c>
      <c r="F495">
        <v>2747.5450000000001</v>
      </c>
      <c r="G495">
        <v>0.03</v>
      </c>
      <c r="H495">
        <v>0</v>
      </c>
      <c r="I495" s="1">
        <v>45826</v>
      </c>
      <c r="J495" t="s">
        <v>31</v>
      </c>
      <c r="K495" t="s">
        <v>16</v>
      </c>
      <c r="L495">
        <v>478.28</v>
      </c>
    </row>
    <row r="496" spans="1:12">
      <c r="A496">
        <v>1494</v>
      </c>
      <c r="B496" t="s">
        <v>543</v>
      </c>
      <c r="C496" t="s">
        <v>13</v>
      </c>
      <c r="D496" t="s">
        <v>48</v>
      </c>
      <c r="E496">
        <v>2</v>
      </c>
      <c r="F496">
        <v>4338.0600000000004</v>
      </c>
      <c r="G496">
        <v>0.24</v>
      </c>
      <c r="H496">
        <v>0</v>
      </c>
      <c r="I496" s="1">
        <v>45734</v>
      </c>
      <c r="J496" t="s">
        <v>22</v>
      </c>
      <c r="K496" t="s">
        <v>16</v>
      </c>
      <c r="L496">
        <v>386.01</v>
      </c>
    </row>
    <row r="497" spans="1:12">
      <c r="A497">
        <v>1495</v>
      </c>
      <c r="B497" t="s">
        <v>544</v>
      </c>
      <c r="C497" t="s">
        <v>29</v>
      </c>
      <c r="D497" t="s">
        <v>117</v>
      </c>
      <c r="E497">
        <v>2</v>
      </c>
      <c r="F497">
        <v>2261.4899999999998</v>
      </c>
      <c r="G497">
        <v>0.6</v>
      </c>
      <c r="H497">
        <v>0</v>
      </c>
      <c r="I497" s="1">
        <v>45601</v>
      </c>
      <c r="J497" t="s">
        <v>27</v>
      </c>
      <c r="K497" t="s">
        <v>16</v>
      </c>
      <c r="L497">
        <v>2044.15</v>
      </c>
    </row>
    <row r="498" spans="1:12">
      <c r="A498">
        <v>1496</v>
      </c>
      <c r="B498" t="s">
        <v>545</v>
      </c>
      <c r="C498" t="s">
        <v>20</v>
      </c>
      <c r="D498" t="s">
        <v>85</v>
      </c>
      <c r="E498">
        <v>-1</v>
      </c>
      <c r="F498">
        <v>4874.76</v>
      </c>
      <c r="G498">
        <v>0.6</v>
      </c>
      <c r="H498">
        <v>0</v>
      </c>
      <c r="I498" s="1">
        <v>45655</v>
      </c>
      <c r="J498" t="s">
        <v>18</v>
      </c>
      <c r="K498" t="s">
        <v>23</v>
      </c>
      <c r="L498">
        <v>2438.13</v>
      </c>
    </row>
    <row r="499" spans="1:12">
      <c r="A499">
        <v>1497</v>
      </c>
      <c r="B499" t="s">
        <v>546</v>
      </c>
      <c r="C499" t="s">
        <v>29</v>
      </c>
      <c r="D499" t="s">
        <v>30</v>
      </c>
      <c r="E499">
        <v>2</v>
      </c>
      <c r="F499">
        <v>1461.5</v>
      </c>
      <c r="G499">
        <v>0.6</v>
      </c>
      <c r="H499">
        <v>0</v>
      </c>
      <c r="I499" s="1">
        <v>45526</v>
      </c>
      <c r="J499" t="s">
        <v>45</v>
      </c>
      <c r="K499" t="s">
        <v>16</v>
      </c>
      <c r="L499">
        <v>1561.06</v>
      </c>
    </row>
    <row r="500" spans="1:12">
      <c r="A500">
        <v>1498</v>
      </c>
      <c r="B500" t="s">
        <v>547</v>
      </c>
      <c r="C500" t="s">
        <v>13</v>
      </c>
      <c r="D500" t="s">
        <v>48</v>
      </c>
      <c r="E500">
        <v>6</v>
      </c>
      <c r="F500">
        <v>3771.67</v>
      </c>
      <c r="G500">
        <v>0.6</v>
      </c>
      <c r="H500">
        <v>0</v>
      </c>
      <c r="I500" s="1">
        <v>45566</v>
      </c>
      <c r="J500" t="s">
        <v>22</v>
      </c>
      <c r="K500" t="s">
        <v>16</v>
      </c>
      <c r="L500">
        <v>2442.42</v>
      </c>
    </row>
    <row r="501" spans="1:12">
      <c r="A501">
        <v>1499</v>
      </c>
      <c r="B501" t="s">
        <v>548</v>
      </c>
      <c r="C501" t="s">
        <v>33</v>
      </c>
      <c r="D501" t="s">
        <v>34</v>
      </c>
      <c r="E501">
        <v>2</v>
      </c>
      <c r="F501">
        <v>2747.5450000000001</v>
      </c>
      <c r="G501">
        <v>0.6</v>
      </c>
      <c r="H501">
        <v>0</v>
      </c>
      <c r="I501" s="1">
        <v>45826</v>
      </c>
      <c r="J501" t="s">
        <v>27</v>
      </c>
      <c r="K501" t="s">
        <v>16</v>
      </c>
      <c r="L501">
        <v>2116.52</v>
      </c>
    </row>
    <row r="502" spans="1:12">
      <c r="A502">
        <v>1500</v>
      </c>
      <c r="B502" t="s">
        <v>549</v>
      </c>
      <c r="C502" t="s">
        <v>13</v>
      </c>
      <c r="D502" t="s">
        <v>48</v>
      </c>
      <c r="E502">
        <v>2</v>
      </c>
      <c r="F502">
        <v>2128.7399999999998</v>
      </c>
      <c r="G502">
        <v>0.6</v>
      </c>
      <c r="H502">
        <v>0</v>
      </c>
      <c r="I502" s="1">
        <v>45588</v>
      </c>
      <c r="J502" t="s">
        <v>18</v>
      </c>
      <c r="K502" t="s">
        <v>23</v>
      </c>
      <c r="L502">
        <v>-648.94000000000005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4C185-F5E2-4568-95D1-E917C6021FB2}">
  <dimension ref="A1:F502"/>
  <sheetViews>
    <sheetView workbookViewId="0">
      <selection activeCell="D20" sqref="D20"/>
    </sheetView>
  </sheetViews>
  <sheetFormatPr defaultRowHeight="14.4"/>
  <cols>
    <col min="1" max="1" width="10.33203125" customWidth="1"/>
    <col min="2" max="2" width="18.33203125" customWidth="1"/>
    <col min="3" max="3" width="22.109375" customWidth="1"/>
    <col min="4" max="4" width="15.6640625" customWidth="1"/>
    <col min="5" max="5" width="14.88671875" customWidth="1"/>
    <col min="6" max="6" width="12.10937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7</v>
      </c>
      <c r="F1" s="2" t="s">
        <v>11</v>
      </c>
    </row>
    <row r="2" spans="1:6">
      <c r="A2" s="3">
        <v>1000</v>
      </c>
      <c r="B2" s="3">
        <f>Observation!D20</f>
        <v>0</v>
      </c>
      <c r="C2" s="3" t="str">
        <f>VLOOKUP(A2,Dataset!A:L,3,FALSE)</f>
        <v>Jeans</v>
      </c>
      <c r="D2" s="3" t="str">
        <f>VLOOKUP(A2,Dataset!A:L,4,FALSE)</f>
        <v>Slim Fit Jeans</v>
      </c>
      <c r="E2" s="3">
        <f>VLOOKUP(A2,Dataset!A:L,8,FALSE)</f>
        <v>0</v>
      </c>
      <c r="F2" s="3">
        <f>VLOOKUP(A2,Dataset!A:L,12,FALSE)</f>
        <v>2137.4499999999998</v>
      </c>
    </row>
    <row r="3" spans="1:6">
      <c r="A3" s="3">
        <v>1001</v>
      </c>
      <c r="B3" s="3" t="str">
        <f>VLOOKUP(A3,Dataset!A:L,2,FALSE)</f>
        <v>Shaun Ross</v>
      </c>
      <c r="C3" s="3" t="str">
        <f>VLOOKUP(A3,Dataset!A:L,3,FALSE)</f>
        <v>Jeans</v>
      </c>
      <c r="D3" s="3" t="str">
        <f>VLOOKUP(A3,Dataset!A:L,4,FALSE)</f>
        <v>Slim Fit Jeans</v>
      </c>
      <c r="E3" s="3">
        <f>VLOOKUP(A3,Dataset!A:L,8,FALSE)</f>
        <v>0</v>
      </c>
      <c r="F3" s="3">
        <f>VLOOKUP(A3,Dataset!A:L,12,FALSE)</f>
        <v>1588.15</v>
      </c>
    </row>
    <row r="4" spans="1:6">
      <c r="A4" s="3">
        <v>1002</v>
      </c>
      <c r="B4" s="3" t="str">
        <f>VLOOKUP(A4,Dataset!A:L,2,FALSE)</f>
        <v>Sarah Snyder</v>
      </c>
      <c r="C4" s="3" t="str">
        <f>VLOOKUP(A4,Dataset!A:L,3,FALSE)</f>
        <v>Jackets</v>
      </c>
      <c r="D4" s="3" t="str">
        <f>VLOOKUP(A4,Dataset!A:L,4,FALSE)</f>
        <v>Puffer Coat</v>
      </c>
      <c r="E4" s="3">
        <f>VLOOKUP(A4,Dataset!A:L,8,FALSE)</f>
        <v>0</v>
      </c>
      <c r="F4" s="3">
        <f>VLOOKUP(A4,Dataset!A:L,12,FALSE)</f>
        <v>-158.03</v>
      </c>
    </row>
    <row r="5" spans="1:6">
      <c r="A5" s="3">
        <v>1003</v>
      </c>
      <c r="B5" s="3" t="str">
        <f>VLOOKUP(A5,Dataset!A:L,2,FALSE)</f>
        <v>Jay Briggs</v>
      </c>
      <c r="C5" s="3" t="str">
        <f>VLOOKUP(A5,Dataset!A:L,3,FALSE)</f>
        <v>Shoes</v>
      </c>
      <c r="D5" s="3" t="str">
        <f>VLOOKUP(A5,Dataset!A:L,4,FALSE)</f>
        <v>Loafers</v>
      </c>
      <c r="E5" s="3">
        <f>VLOOKUP(A5,Dataset!A:L,8,FALSE)</f>
        <v>0</v>
      </c>
      <c r="F5" s="3">
        <f>VLOOKUP(A5,Dataset!A:L,12,FALSE)</f>
        <v>2296.5</v>
      </c>
    </row>
    <row r="6" spans="1:6">
      <c r="A6" s="3">
        <v>1004</v>
      </c>
      <c r="B6" s="3" t="str">
        <f>VLOOKUP(A6,Dataset!A:L,2,FALSE)</f>
        <v>Maria Blake</v>
      </c>
      <c r="C6" s="3" t="str">
        <f>VLOOKUP(A6,Dataset!A:L,3,FALSE)</f>
        <v>Accessories</v>
      </c>
      <c r="D6" s="3" t="str">
        <f>VLOOKUP(A6,Dataset!A:L,4,FALSE)</f>
        <v>Belts</v>
      </c>
      <c r="E6" s="3">
        <f>VLOOKUP(A6,Dataset!A:L,8,FALSE)</f>
        <v>2103.1799999999998</v>
      </c>
      <c r="F6" s="3">
        <f>VLOOKUP(A6,Dataset!A:L,12,FALSE)</f>
        <v>63.66</v>
      </c>
    </row>
    <row r="7" spans="1:6">
      <c r="A7" s="3">
        <v>1005</v>
      </c>
      <c r="B7" s="3" t="str">
        <f>VLOOKUP(A7,Dataset!A:L,2,FALSE)</f>
        <v>Samuel Miller</v>
      </c>
      <c r="C7" s="3" t="str">
        <f>VLOOKUP(A7,Dataset!A:L,3,FALSE)</f>
        <v>T-Shirts</v>
      </c>
      <c r="D7" s="3" t="str">
        <f>VLOOKUP(A7,Dataset!A:L,4,FALSE)</f>
        <v>Crop Top</v>
      </c>
      <c r="E7" s="3">
        <f>VLOOKUP(A7,Dataset!A:L,8,FALSE)</f>
        <v>0</v>
      </c>
      <c r="F7" s="3">
        <f>VLOOKUP(A7,Dataset!A:L,12,FALSE)</f>
        <v>1477.73</v>
      </c>
    </row>
    <row r="8" spans="1:6">
      <c r="A8" s="3">
        <v>1006</v>
      </c>
      <c r="B8" s="3" t="str">
        <f>VLOOKUP(A8,Dataset!A:L,2,FALSE)</f>
        <v>John Mclean</v>
      </c>
      <c r="C8" s="3" t="str">
        <f>VLOOKUP(A8,Dataset!A:L,3,FALSE)</f>
        <v>Jeans</v>
      </c>
      <c r="D8" s="3" t="str">
        <f>VLOOKUP(A8,Dataset!A:L,4,FALSE)</f>
        <v>Boyfriend Jeans</v>
      </c>
      <c r="E8" s="3">
        <f>VLOOKUP(A8,Dataset!A:L,8,FALSE)</f>
        <v>0</v>
      </c>
      <c r="F8" s="3">
        <f>VLOOKUP(A8,Dataset!A:L,12,FALSE)</f>
        <v>198.36</v>
      </c>
    </row>
    <row r="9" spans="1:6">
      <c r="A9" s="3">
        <v>1007</v>
      </c>
      <c r="B9" s="3" t="str">
        <f>VLOOKUP(A9,Dataset!A:L,2,FALSE)</f>
        <v>Dr. Kathryn Bass PhD</v>
      </c>
      <c r="C9" s="3" t="str">
        <f>VLOOKUP(A9,Dataset!A:L,3,FALSE)</f>
        <v>Dresses</v>
      </c>
      <c r="D9" s="3" t="str">
        <f>VLOOKUP(A9,Dataset!A:L,4,FALSE)</f>
        <v>Casual Midi</v>
      </c>
      <c r="E9" s="3">
        <f>VLOOKUP(A9,Dataset!A:L,8,FALSE)</f>
        <v>0</v>
      </c>
      <c r="F9" s="3">
        <f>VLOOKUP(A9,Dataset!A:L,12,FALSE)</f>
        <v>2490.0100000000002</v>
      </c>
    </row>
    <row r="10" spans="1:6">
      <c r="A10" s="3">
        <v>1008</v>
      </c>
      <c r="B10" s="3" t="str">
        <f>VLOOKUP(A10,Dataset!A:L,2,FALSE)</f>
        <v>Marie Fisher</v>
      </c>
      <c r="C10" s="3" t="str">
        <f>VLOOKUP(A10,Dataset!A:L,3,FALSE)</f>
        <v>Accessories</v>
      </c>
      <c r="D10" s="3" t="str">
        <f>VLOOKUP(A10,Dataset!A:L,4,FALSE)</f>
        <v>Sunglasses</v>
      </c>
      <c r="E10" s="3">
        <f>VLOOKUP(A10,Dataset!A:L,8,FALSE)</f>
        <v>0</v>
      </c>
      <c r="F10" s="3">
        <f>VLOOKUP(A10,Dataset!A:L,12,FALSE)</f>
        <v>-886.8</v>
      </c>
    </row>
    <row r="11" spans="1:6">
      <c r="A11" s="3">
        <v>1009</v>
      </c>
      <c r="B11" s="3" t="str">
        <f>VLOOKUP(A11,Dataset!A:L,2,FALSE)</f>
        <v>Dale Perry</v>
      </c>
      <c r="C11" s="3" t="str">
        <f>VLOOKUP(A11,Dataset!A:L,3,FALSE)</f>
        <v>T-Shirts</v>
      </c>
      <c r="D11" s="3" t="str">
        <f>VLOOKUP(A11,Dataset!A:L,4,FALSE)</f>
        <v>Oversized T-shirt</v>
      </c>
      <c r="E11" s="3">
        <f>VLOOKUP(A11,Dataset!A:L,8,FALSE)</f>
        <v>0</v>
      </c>
      <c r="F11" s="3">
        <f>VLOOKUP(A11,Dataset!A:L,12,FALSE)</f>
        <v>-972.73</v>
      </c>
    </row>
    <row r="12" spans="1:6">
      <c r="A12" s="3">
        <v>1010</v>
      </c>
      <c r="B12" s="3" t="str">
        <f>VLOOKUP(A12,Dataset!A:L,2,FALSE)</f>
        <v>Oscar Turner</v>
      </c>
      <c r="C12" s="3" t="str">
        <f>VLOOKUP(A12,Dataset!A:L,3,FALSE)</f>
        <v>T-Shirts</v>
      </c>
      <c r="D12" s="3" t="str">
        <f>VLOOKUP(A12,Dataset!A:L,4,FALSE)</f>
        <v>Crop Top</v>
      </c>
      <c r="E12" s="3">
        <f>VLOOKUP(A12,Dataset!A:L,8,FALSE)</f>
        <v>0</v>
      </c>
      <c r="F12" s="3">
        <f>VLOOKUP(A12,Dataset!A:L,12,FALSE)</f>
        <v>-950.38</v>
      </c>
    </row>
    <row r="13" spans="1:6">
      <c r="A13" s="3">
        <v>1011</v>
      </c>
      <c r="B13" s="3" t="str">
        <f>VLOOKUP(A13,Dataset!A:L,2,FALSE)</f>
        <v>Jacob Sanchez</v>
      </c>
      <c r="C13" s="3" t="str">
        <f>VLOOKUP(A13,Dataset!A:L,3,FALSE)</f>
        <v>Accessories</v>
      </c>
      <c r="D13" s="3" t="str">
        <f>VLOOKUP(A13,Dataset!A:L,4,FALSE)</f>
        <v>Belts</v>
      </c>
      <c r="E13" s="3">
        <f>VLOOKUP(A13,Dataset!A:L,8,FALSE)</f>
        <v>0</v>
      </c>
      <c r="F13" s="3">
        <f>VLOOKUP(A13,Dataset!A:L,12,FALSE)</f>
        <v>1370.67</v>
      </c>
    </row>
    <row r="14" spans="1:6">
      <c r="A14" s="3">
        <v>1012</v>
      </c>
      <c r="B14" s="3" t="str">
        <f>VLOOKUP(A14,Dataset!A:L,2,FALSE)</f>
        <v>Valerie Hampton</v>
      </c>
      <c r="C14" s="3" t="str">
        <f>VLOOKUP(A14,Dataset!A:L,3,FALSE)</f>
        <v>Jeans</v>
      </c>
      <c r="D14" s="3" t="str">
        <f>VLOOKUP(A14,Dataset!A:L,4,FALSE)</f>
        <v>Straight Cut</v>
      </c>
      <c r="E14" s="3">
        <f>VLOOKUP(A14,Dataset!A:L,8,FALSE)</f>
        <v>0</v>
      </c>
      <c r="F14" s="3">
        <f>VLOOKUP(A14,Dataset!A:L,12,FALSE)</f>
        <v>843.61</v>
      </c>
    </row>
    <row r="15" spans="1:6">
      <c r="A15" s="3">
        <v>1013</v>
      </c>
      <c r="B15" s="3" t="str">
        <f>VLOOKUP(A15,Dataset!A:L,2,FALSE)</f>
        <v>James Delgado</v>
      </c>
      <c r="C15" s="3" t="str">
        <f>VLOOKUP(A15,Dataset!A:L,3,FALSE)</f>
        <v>T-Shirts</v>
      </c>
      <c r="D15" s="3" t="str">
        <f>VLOOKUP(A15,Dataset!A:L,4,FALSE)</f>
        <v>Crop Top</v>
      </c>
      <c r="E15" s="3">
        <f>VLOOKUP(A15,Dataset!A:L,8,FALSE)</f>
        <v>0</v>
      </c>
      <c r="F15" s="3">
        <f>VLOOKUP(A15,Dataset!A:L,12,FALSE)</f>
        <v>1279.58</v>
      </c>
    </row>
    <row r="16" spans="1:6">
      <c r="A16" s="3">
        <v>1014</v>
      </c>
      <c r="B16" s="3" t="str">
        <f>VLOOKUP(A16,Dataset!A:L,2,FALSE)</f>
        <v>Richard Hood</v>
      </c>
      <c r="C16" s="3" t="str">
        <f>VLOOKUP(A16,Dataset!A:L,3,FALSE)</f>
        <v>Shoes</v>
      </c>
      <c r="D16" s="3" t="str">
        <f>VLOOKUP(A16,Dataset!A:L,4,FALSE)</f>
        <v>Loafers</v>
      </c>
      <c r="E16" s="3">
        <f>VLOOKUP(A16,Dataset!A:L,8,FALSE)</f>
        <v>0</v>
      </c>
      <c r="F16" s="3">
        <f>VLOOKUP(A16,Dataset!A:L,12,FALSE)</f>
        <v>-889.25</v>
      </c>
    </row>
    <row r="17" spans="1:6">
      <c r="A17" s="3">
        <v>1015</v>
      </c>
      <c r="B17" s="3" t="str">
        <f>VLOOKUP(A17,Dataset!A:L,2,FALSE)</f>
        <v>Julie Fox</v>
      </c>
      <c r="C17" s="3" t="str">
        <f>VLOOKUP(A17,Dataset!A:L,3,FALSE)</f>
        <v>Shoes</v>
      </c>
      <c r="D17" s="3" t="str">
        <f>VLOOKUP(A17,Dataset!A:L,4,FALSE)</f>
        <v>Sneakers</v>
      </c>
      <c r="E17" s="3">
        <f>VLOOKUP(A17,Dataset!A:L,8,FALSE)</f>
        <v>0</v>
      </c>
      <c r="F17" s="3">
        <f>VLOOKUP(A17,Dataset!A:L,12,FALSE)</f>
        <v>793.8</v>
      </c>
    </row>
    <row r="18" spans="1:6">
      <c r="A18" s="3">
        <v>1016</v>
      </c>
      <c r="B18" s="3" t="str">
        <f>VLOOKUP(A18,Dataset!A:L,2,FALSE)</f>
        <v>Valerie Garner</v>
      </c>
      <c r="C18" s="3" t="str">
        <f>VLOOKUP(A18,Dataset!A:L,3,FALSE)</f>
        <v>T-Shirts</v>
      </c>
      <c r="D18" s="3" t="str">
        <f>VLOOKUP(A18,Dataset!A:L,4,FALSE)</f>
        <v>Crop Top</v>
      </c>
      <c r="E18" s="3">
        <f>VLOOKUP(A18,Dataset!A:L,8,FALSE)</f>
        <v>0</v>
      </c>
      <c r="F18" s="3">
        <f>VLOOKUP(A18,Dataset!A:L,12,FALSE)</f>
        <v>1881.89</v>
      </c>
    </row>
    <row r="19" spans="1:6">
      <c r="A19" s="3">
        <v>1017</v>
      </c>
      <c r="B19" s="3" t="str">
        <f>VLOOKUP(A19,Dataset!A:L,2,FALSE)</f>
        <v>Alejandro Johnson</v>
      </c>
      <c r="C19" s="3" t="str">
        <f>VLOOKUP(A19,Dataset!A:L,3,FALSE)</f>
        <v>T-Shirts</v>
      </c>
      <c r="D19" s="3" t="str">
        <f>VLOOKUP(A19,Dataset!A:L,4,FALSE)</f>
        <v>Oversized T-shirt</v>
      </c>
      <c r="E19" s="3">
        <f>VLOOKUP(A19,Dataset!A:L,8,FALSE)</f>
        <v>0</v>
      </c>
      <c r="F19" s="3">
        <f>VLOOKUP(A19,Dataset!A:L,12,FALSE)</f>
        <v>-195.65</v>
      </c>
    </row>
    <row r="20" spans="1:6">
      <c r="A20" s="3">
        <v>1018</v>
      </c>
      <c r="B20" s="3" t="str">
        <f>VLOOKUP(A20,Dataset!A:L,2,FALSE)</f>
        <v>Andrew Washington</v>
      </c>
      <c r="C20" s="3" t="str">
        <f>VLOOKUP(A20,Dataset!A:L,3,FALSE)</f>
        <v>Dresses</v>
      </c>
      <c r="D20" s="3" t="str">
        <f>VLOOKUP(A20,Dataset!A:L,4,FALSE)</f>
        <v>Maxi Dress</v>
      </c>
      <c r="E20" s="3">
        <f>VLOOKUP(A20,Dataset!A:L,8,FALSE)</f>
        <v>0</v>
      </c>
      <c r="F20" s="3">
        <f>VLOOKUP(A20,Dataset!A:L,12,FALSE)</f>
        <v>2102.56</v>
      </c>
    </row>
    <row r="21" spans="1:6">
      <c r="A21" s="3">
        <v>1019</v>
      </c>
      <c r="B21" s="3" t="str">
        <f>VLOOKUP(A21,Dataset!A:L,2,FALSE)</f>
        <v>Mark Allison</v>
      </c>
      <c r="C21" s="3" t="str">
        <f>VLOOKUP(A21,Dataset!A:L,3,FALSE)</f>
        <v>Dresses</v>
      </c>
      <c r="D21" s="3" t="str">
        <f>VLOOKUP(A21,Dataset!A:L,4,FALSE)</f>
        <v>Casual Midi</v>
      </c>
      <c r="E21" s="3">
        <f>VLOOKUP(A21,Dataset!A:L,8,FALSE)</f>
        <v>0</v>
      </c>
      <c r="F21" s="3">
        <f>VLOOKUP(A21,Dataset!A:L,12,FALSE)</f>
        <v>877.21</v>
      </c>
    </row>
    <row r="22" spans="1:6">
      <c r="A22" s="3">
        <v>1020</v>
      </c>
      <c r="B22" s="3" t="str">
        <f>VLOOKUP(A22,Dataset!A:L,2,FALSE)</f>
        <v>Russell Eaton</v>
      </c>
      <c r="C22" s="3" t="str">
        <f>VLOOKUP(A22,Dataset!A:L,3,FALSE)</f>
        <v>Jeans</v>
      </c>
      <c r="D22" s="3" t="str">
        <f>VLOOKUP(A22,Dataset!A:L,4,FALSE)</f>
        <v>Boyfriend Jeans</v>
      </c>
      <c r="E22" s="3">
        <f>VLOOKUP(A22,Dataset!A:L,8,FALSE)</f>
        <v>0</v>
      </c>
      <c r="F22" s="3">
        <f>VLOOKUP(A22,Dataset!A:L,12,FALSE)</f>
        <v>669.75</v>
      </c>
    </row>
    <row r="23" spans="1:6">
      <c r="A23" s="3">
        <v>1021</v>
      </c>
      <c r="B23" s="3" t="str">
        <f>VLOOKUP(A23,Dataset!A:L,2,FALSE)</f>
        <v>Amber Bowman</v>
      </c>
      <c r="C23" s="3" t="str">
        <f>VLOOKUP(A23,Dataset!A:L,3,FALSE)</f>
        <v>Dresses</v>
      </c>
      <c r="D23" s="3" t="str">
        <f>VLOOKUP(A23,Dataset!A:L,4,FALSE)</f>
        <v>Wrap Dress</v>
      </c>
      <c r="E23" s="3">
        <f>VLOOKUP(A23,Dataset!A:L,8,FALSE)</f>
        <v>0</v>
      </c>
      <c r="F23" s="3">
        <f>VLOOKUP(A23,Dataset!A:L,12,FALSE)</f>
        <v>-705.72</v>
      </c>
    </row>
    <row r="24" spans="1:6">
      <c r="A24" s="3">
        <v>1031</v>
      </c>
      <c r="B24" s="3" t="str">
        <f>VLOOKUP(A24,Dataset!A:L,2,FALSE)</f>
        <v>Lauren Jensen</v>
      </c>
      <c r="C24" s="3" t="str">
        <f>VLOOKUP(A24,Dataset!A:L,3,FALSE)</f>
        <v>Dresses</v>
      </c>
      <c r="D24" s="3" t="str">
        <f>VLOOKUP(A24,Dataset!A:L,4,FALSE)</f>
        <v>Wrap Dress</v>
      </c>
      <c r="E24" s="3">
        <f>VLOOKUP(A24,Dataset!A:L,8,FALSE)</f>
        <v>0</v>
      </c>
      <c r="F24" s="3">
        <f>VLOOKUP(A24,Dataset!A:L,12,FALSE)</f>
        <v>-863.9</v>
      </c>
    </row>
    <row r="25" spans="1:6">
      <c r="A25" s="3">
        <v>1023</v>
      </c>
      <c r="B25" s="3" t="str">
        <f>VLOOKUP(A25,Dataset!A:L,2,FALSE)</f>
        <v>David Arnold</v>
      </c>
      <c r="C25" s="3" t="str">
        <f>VLOOKUP(A25,Dataset!A:L,3,FALSE)</f>
        <v>Shoes</v>
      </c>
      <c r="D25" s="3" t="str">
        <f>VLOOKUP(A25,Dataset!A:L,4,FALSE)</f>
        <v>Slip-ons</v>
      </c>
      <c r="E25" s="3">
        <f>VLOOKUP(A25,Dataset!A:L,8,FALSE)</f>
        <v>0</v>
      </c>
      <c r="F25" s="3">
        <f>VLOOKUP(A25,Dataset!A:L,12,FALSE)</f>
        <v>-875.51</v>
      </c>
    </row>
    <row r="26" spans="1:6">
      <c r="A26" s="3">
        <v>1024</v>
      </c>
      <c r="B26" s="3" t="str">
        <f>VLOOKUP(A26,Dataset!A:L,2,FALSE)</f>
        <v>Thomas Long</v>
      </c>
      <c r="C26" s="3" t="str">
        <f>VLOOKUP(A26,Dataset!A:L,3,FALSE)</f>
        <v>Jackets</v>
      </c>
      <c r="D26" s="3" t="str">
        <f>VLOOKUP(A26,Dataset!A:L,4,FALSE)</f>
        <v>Puffer Coat</v>
      </c>
      <c r="E26" s="3">
        <f>VLOOKUP(A26,Dataset!A:L,8,FALSE)</f>
        <v>0</v>
      </c>
      <c r="F26" s="3">
        <f>VLOOKUP(A26,Dataset!A:L,12,FALSE)</f>
        <v>491.1</v>
      </c>
    </row>
    <row r="27" spans="1:6">
      <c r="A27" s="3">
        <v>1025</v>
      </c>
      <c r="B27" s="3" t="str">
        <f>VLOOKUP(A27,Dataset!A:L,2,FALSE)</f>
        <v>Christine Reed</v>
      </c>
      <c r="C27" s="3" t="str">
        <f>VLOOKUP(A27,Dataset!A:L,3,FALSE)</f>
        <v>Jeans</v>
      </c>
      <c r="D27" s="3" t="str">
        <f>VLOOKUP(A27,Dataset!A:L,4,FALSE)</f>
        <v>Straight Cut</v>
      </c>
      <c r="E27" s="3">
        <f>VLOOKUP(A27,Dataset!A:L,8,FALSE)</f>
        <v>0</v>
      </c>
      <c r="F27" s="3">
        <f>VLOOKUP(A27,Dataset!A:L,12,FALSE)</f>
        <v>330.82</v>
      </c>
    </row>
    <row r="28" spans="1:6">
      <c r="A28" s="3">
        <v>1026</v>
      </c>
      <c r="B28" s="3" t="str">
        <f>VLOOKUP(A28,Dataset!A:L,2,FALSE)</f>
        <v>Colton Baxter</v>
      </c>
      <c r="C28" s="3" t="str">
        <f>VLOOKUP(A28,Dataset!A:L,3,FALSE)</f>
        <v>Accessories</v>
      </c>
      <c r="D28" s="3" t="str">
        <f>VLOOKUP(A28,Dataset!A:L,4,FALSE)</f>
        <v>Sunglasses</v>
      </c>
      <c r="E28" s="3">
        <f>VLOOKUP(A28,Dataset!A:L,8,FALSE)</f>
        <v>0</v>
      </c>
      <c r="F28" s="3">
        <f>VLOOKUP(A28,Dataset!A:L,12,FALSE)</f>
        <v>-194.77</v>
      </c>
    </row>
    <row r="29" spans="1:6">
      <c r="A29" s="3">
        <v>1027</v>
      </c>
      <c r="B29" s="3" t="str">
        <f>VLOOKUP(A29,Dataset!A:L,2,FALSE)</f>
        <v>Rebecca Dorsey</v>
      </c>
      <c r="C29" s="3" t="str">
        <f>VLOOKUP(A29,Dataset!A:L,3,FALSE)</f>
        <v>Accessories</v>
      </c>
      <c r="D29" s="3" t="str">
        <f>VLOOKUP(A29,Dataset!A:L,4,FALSE)</f>
        <v>Belts</v>
      </c>
      <c r="E29" s="3">
        <f>VLOOKUP(A29,Dataset!A:L,8,FALSE)</f>
        <v>0</v>
      </c>
      <c r="F29" s="3">
        <f>VLOOKUP(A29,Dataset!A:L,12,FALSE)</f>
        <v>1085.3599999999999</v>
      </c>
    </row>
    <row r="30" spans="1:6">
      <c r="A30" s="3">
        <v>1028</v>
      </c>
      <c r="B30" s="3" t="str">
        <f>VLOOKUP(A30,Dataset!A:L,2,FALSE)</f>
        <v>Felicia Orozco</v>
      </c>
      <c r="C30" s="3" t="str">
        <f>VLOOKUP(A30,Dataset!A:L,3,FALSE)</f>
        <v>T-Shirts</v>
      </c>
      <c r="D30" s="3" t="str">
        <f>VLOOKUP(A30,Dataset!A:L,4,FALSE)</f>
        <v>Classic Tee</v>
      </c>
      <c r="E30" s="3">
        <f>VLOOKUP(A30,Dataset!A:L,8,FALSE)</f>
        <v>0</v>
      </c>
      <c r="F30" s="3">
        <f>VLOOKUP(A30,Dataset!A:L,12,FALSE)</f>
        <v>2060.0300000000002</v>
      </c>
    </row>
    <row r="31" spans="1:6">
      <c r="A31" s="3">
        <v>1029</v>
      </c>
      <c r="B31" s="3" t="str">
        <f>VLOOKUP(A31,Dataset!A:L,2,FALSE)</f>
        <v>Terry Anderson</v>
      </c>
      <c r="C31" s="3" t="str">
        <f>VLOOKUP(A31,Dataset!A:L,3,FALSE)</f>
        <v>T-Shirts</v>
      </c>
      <c r="D31" s="3" t="str">
        <f>VLOOKUP(A31,Dataset!A:L,4,FALSE)</f>
        <v>Classic Tee</v>
      </c>
      <c r="E31" s="3">
        <f>VLOOKUP(A31,Dataset!A:L,8,FALSE)</f>
        <v>0</v>
      </c>
      <c r="F31" s="3">
        <f>VLOOKUP(A31,Dataset!A:L,12,FALSE)</f>
        <v>1737.92</v>
      </c>
    </row>
    <row r="32" spans="1:6">
      <c r="A32" s="3">
        <v>1030</v>
      </c>
      <c r="B32" s="3" t="str">
        <f>VLOOKUP(A32,Dataset!A:L,2,FALSE)</f>
        <v>Brandi Jones</v>
      </c>
      <c r="C32" s="3" t="str">
        <f>VLOOKUP(A32,Dataset!A:L,3,FALSE)</f>
        <v>Dresses</v>
      </c>
      <c r="D32" s="3" t="str">
        <f>VLOOKUP(A32,Dataset!A:L,4,FALSE)</f>
        <v>Maxi Dress</v>
      </c>
      <c r="E32" s="3">
        <f>VLOOKUP(A32,Dataset!A:L,8,FALSE)</f>
        <v>0</v>
      </c>
      <c r="F32" s="3">
        <f>VLOOKUP(A32,Dataset!A:L,12,FALSE)</f>
        <v>1155.3800000000001</v>
      </c>
    </row>
    <row r="33" spans="1:6">
      <c r="A33" s="3">
        <v>1031</v>
      </c>
      <c r="B33" s="3" t="str">
        <f>VLOOKUP(A33,Dataset!A:L,2,FALSE)</f>
        <v>Lauren Jensen</v>
      </c>
      <c r="C33" s="3" t="str">
        <f>VLOOKUP(A33,Dataset!A:L,3,FALSE)</f>
        <v>Dresses</v>
      </c>
      <c r="D33" s="3" t="str">
        <f>VLOOKUP(A33,Dataset!A:L,4,FALSE)</f>
        <v>Wrap Dress</v>
      </c>
      <c r="E33" s="3">
        <f>VLOOKUP(A33,Dataset!A:L,8,FALSE)</f>
        <v>0</v>
      </c>
      <c r="F33" s="3">
        <f>VLOOKUP(A33,Dataset!A:L,12,FALSE)</f>
        <v>-863.9</v>
      </c>
    </row>
    <row r="34" spans="1:6">
      <c r="A34" s="3">
        <v>1032</v>
      </c>
      <c r="B34" s="3" t="str">
        <f>VLOOKUP(A34,Dataset!A:L,2,FALSE)</f>
        <v>Kim Harris</v>
      </c>
      <c r="C34" s="3" t="str">
        <f>VLOOKUP(A34,Dataset!A:L,3,FALSE)</f>
        <v>Jeans</v>
      </c>
      <c r="D34" s="3" t="str">
        <f>VLOOKUP(A34,Dataset!A:L,4,FALSE)</f>
        <v>Boyfriend Jeans</v>
      </c>
      <c r="E34" s="3">
        <f>VLOOKUP(A34,Dataset!A:L,8,FALSE)</f>
        <v>0</v>
      </c>
      <c r="F34" s="3">
        <f>VLOOKUP(A34,Dataset!A:L,12,FALSE)</f>
        <v>1377.61</v>
      </c>
    </row>
    <row r="35" spans="1:6">
      <c r="A35" s="3">
        <v>1033</v>
      </c>
      <c r="B35" s="3" t="str">
        <f>VLOOKUP(A35,Dataset!A:L,2,FALSE)</f>
        <v>Jonathan Neal</v>
      </c>
      <c r="C35" s="3" t="str">
        <f>VLOOKUP(A35,Dataset!A:L,3,FALSE)</f>
        <v>Jeans</v>
      </c>
      <c r="D35" s="3" t="str">
        <f>VLOOKUP(A35,Dataset!A:L,4,FALSE)</f>
        <v>Straight Cut</v>
      </c>
      <c r="E35" s="3">
        <f>VLOOKUP(A35,Dataset!A:L,8,FALSE)</f>
        <v>0</v>
      </c>
      <c r="F35" s="3">
        <f>VLOOKUP(A35,Dataset!A:L,12,FALSE)</f>
        <v>903.69</v>
      </c>
    </row>
    <row r="36" spans="1:6">
      <c r="A36" s="3">
        <v>1034</v>
      </c>
      <c r="B36" s="3" t="str">
        <f>VLOOKUP(A36,Dataset!A:L,2,FALSE)</f>
        <v>Nathan Stewart</v>
      </c>
      <c r="C36" s="3" t="str">
        <f>VLOOKUP(A36,Dataset!A:L,3,FALSE)</f>
        <v>Jackets</v>
      </c>
      <c r="D36" s="3" t="str">
        <f>VLOOKUP(A36,Dataset!A:L,4,FALSE)</f>
        <v>Puffer Coat</v>
      </c>
      <c r="E36" s="3">
        <f>VLOOKUP(A36,Dataset!A:L,8,FALSE)</f>
        <v>0</v>
      </c>
      <c r="F36" s="3">
        <f>VLOOKUP(A36,Dataset!A:L,12,FALSE)</f>
        <v>-282.68</v>
      </c>
    </row>
    <row r="37" spans="1:6">
      <c r="A37" s="3">
        <v>1035</v>
      </c>
      <c r="B37" s="3" t="str">
        <f>VLOOKUP(A37,Dataset!A:L,2,FALSE)</f>
        <v>Joshua Thomas</v>
      </c>
      <c r="C37" s="3" t="str">
        <f>VLOOKUP(A37,Dataset!A:L,3,FALSE)</f>
        <v>Jackets</v>
      </c>
      <c r="D37" s="3" t="str">
        <f>VLOOKUP(A37,Dataset!A:L,4,FALSE)</f>
        <v>Bomber Jacket</v>
      </c>
      <c r="E37" s="3">
        <f>VLOOKUP(A37,Dataset!A:L,8,FALSE)</f>
        <v>0</v>
      </c>
      <c r="F37" s="3">
        <f>VLOOKUP(A37,Dataset!A:L,12,FALSE)</f>
        <v>-199.18</v>
      </c>
    </row>
    <row r="38" spans="1:6">
      <c r="A38" s="3">
        <v>1036</v>
      </c>
      <c r="B38" s="3" t="str">
        <f>VLOOKUP(A38,Dataset!A:L,2,FALSE)</f>
        <v>Connie Cunningham</v>
      </c>
      <c r="C38" s="3" t="str">
        <f>VLOOKUP(A38,Dataset!A:L,3,FALSE)</f>
        <v>T-Shirts</v>
      </c>
      <c r="D38" s="3" t="str">
        <f>VLOOKUP(A38,Dataset!A:L,4,FALSE)</f>
        <v>Graphic Tee</v>
      </c>
      <c r="E38" s="3">
        <f>VLOOKUP(A38,Dataset!A:L,8,FALSE)</f>
        <v>0</v>
      </c>
      <c r="F38" s="3">
        <f>VLOOKUP(A38,Dataset!A:L,12,FALSE)</f>
        <v>1213.95</v>
      </c>
    </row>
    <row r="39" spans="1:6">
      <c r="A39" s="3">
        <v>1037</v>
      </c>
      <c r="B39" s="3" t="str">
        <f>VLOOKUP(A39,Dataset!A:L,2,FALSE)</f>
        <v>Amy Martin</v>
      </c>
      <c r="C39" s="3" t="str">
        <f>VLOOKUP(A39,Dataset!A:L,3,FALSE)</f>
        <v>Accessories</v>
      </c>
      <c r="D39" s="3" t="str">
        <f>VLOOKUP(A39,Dataset!A:L,4,FALSE)</f>
        <v>Sunglasses</v>
      </c>
      <c r="E39" s="3">
        <f>VLOOKUP(A39,Dataset!A:L,8,FALSE)</f>
        <v>0</v>
      </c>
      <c r="F39" s="3">
        <f>VLOOKUP(A39,Dataset!A:L,12,FALSE)</f>
        <v>907.77</v>
      </c>
    </row>
    <row r="40" spans="1:6">
      <c r="A40" s="3">
        <v>1038</v>
      </c>
      <c r="B40" s="3" t="str">
        <f>VLOOKUP(A40,Dataset!A:L,2,FALSE)</f>
        <v>Courtney Riddle</v>
      </c>
      <c r="C40" s="3" t="str">
        <f>VLOOKUP(A40,Dataset!A:L,3,FALSE)</f>
        <v>T-Shirts</v>
      </c>
      <c r="D40" s="3" t="str">
        <f>VLOOKUP(A40,Dataset!A:L,4,FALSE)</f>
        <v>Crop Top</v>
      </c>
      <c r="E40" s="3">
        <f>VLOOKUP(A40,Dataset!A:L,8,FALSE)</f>
        <v>0</v>
      </c>
      <c r="F40" s="3">
        <f>VLOOKUP(A40,Dataset!A:L,12,FALSE)</f>
        <v>1704.49</v>
      </c>
    </row>
    <row r="41" spans="1:6">
      <c r="A41" s="3">
        <v>1039</v>
      </c>
      <c r="B41" s="3" t="str">
        <f>VLOOKUP(A41,Dataset!A:L,2,FALSE)</f>
        <v>Ashley Ramirez</v>
      </c>
      <c r="C41" s="3" t="str">
        <f>VLOOKUP(A41,Dataset!A:L,3,FALSE)</f>
        <v>Shoes</v>
      </c>
      <c r="D41" s="3" t="str">
        <f>VLOOKUP(A41,Dataset!A:L,4,FALSE)</f>
        <v>Boots</v>
      </c>
      <c r="E41" s="3">
        <f>VLOOKUP(A41,Dataset!A:L,8,FALSE)</f>
        <v>0</v>
      </c>
      <c r="F41" s="3">
        <f>VLOOKUP(A41,Dataset!A:L,12,FALSE)</f>
        <v>1626.51</v>
      </c>
    </row>
    <row r="42" spans="1:6">
      <c r="A42" s="3">
        <v>1040</v>
      </c>
      <c r="B42" s="3" t="str">
        <f>VLOOKUP(A42,Dataset!A:L,2,FALSE)</f>
        <v>Angel Nelson</v>
      </c>
      <c r="C42" s="3" t="str">
        <f>VLOOKUP(A42,Dataset!A:L,3,FALSE)</f>
        <v>Jackets</v>
      </c>
      <c r="D42" s="3" t="str">
        <f>VLOOKUP(A42,Dataset!A:L,4,FALSE)</f>
        <v>Denim Jacket</v>
      </c>
      <c r="E42" s="3">
        <f>VLOOKUP(A42,Dataset!A:L,8,FALSE)</f>
        <v>0</v>
      </c>
      <c r="F42" s="3">
        <f>VLOOKUP(A42,Dataset!A:L,12,FALSE)</f>
        <v>693.6</v>
      </c>
    </row>
    <row r="43" spans="1:6">
      <c r="A43" s="3">
        <v>1041</v>
      </c>
      <c r="B43" s="3" t="str">
        <f>VLOOKUP(A43,Dataset!A:L,2,FALSE)</f>
        <v>Teresa Chavez</v>
      </c>
      <c r="C43" s="3" t="str">
        <f>VLOOKUP(A43,Dataset!A:L,3,FALSE)</f>
        <v>Jackets</v>
      </c>
      <c r="D43" s="3" t="str">
        <f>VLOOKUP(A43,Dataset!A:L,4,FALSE)</f>
        <v>Puffer Coat</v>
      </c>
      <c r="E43" s="3">
        <f>VLOOKUP(A43,Dataset!A:L,8,FALSE)</f>
        <v>0</v>
      </c>
      <c r="F43" s="3">
        <f>VLOOKUP(A43,Dataset!A:L,12,FALSE)</f>
        <v>-983.06</v>
      </c>
    </row>
    <row r="44" spans="1:6">
      <c r="A44" s="3">
        <v>1042</v>
      </c>
      <c r="B44" s="3" t="str">
        <f>VLOOKUP(A44,Dataset!A:L,2,FALSE)</f>
        <v>Richard Williams</v>
      </c>
      <c r="C44" s="3" t="str">
        <f>VLOOKUP(A44,Dataset!A:L,3,FALSE)</f>
        <v>Dresses</v>
      </c>
      <c r="D44" s="3" t="str">
        <f>VLOOKUP(A44,Dataset!A:L,4,FALSE)</f>
        <v>Bodycon</v>
      </c>
      <c r="E44" s="3">
        <f>VLOOKUP(A44,Dataset!A:L,8,FALSE)</f>
        <v>0</v>
      </c>
      <c r="F44" s="3">
        <f>VLOOKUP(A44,Dataset!A:L,12,FALSE)</f>
        <v>283.39</v>
      </c>
    </row>
    <row r="45" spans="1:6">
      <c r="A45" s="3">
        <v>1043</v>
      </c>
      <c r="B45" s="3" t="str">
        <f>VLOOKUP(A45,Dataset!A:L,2,FALSE)</f>
        <v>Deborah Walker</v>
      </c>
      <c r="C45" s="3" t="str">
        <f>VLOOKUP(A45,Dataset!A:L,3,FALSE)</f>
        <v>T-Shirts</v>
      </c>
      <c r="D45" s="3" t="str">
        <f>VLOOKUP(A45,Dataset!A:L,4,FALSE)</f>
        <v>Graphic Tee</v>
      </c>
      <c r="E45" s="3">
        <f>VLOOKUP(A45,Dataset!A:L,8,FALSE)</f>
        <v>0</v>
      </c>
      <c r="F45" s="3">
        <f>VLOOKUP(A45,Dataset!A:L,12,FALSE)</f>
        <v>442.14</v>
      </c>
    </row>
    <row r="46" spans="1:6">
      <c r="A46" s="3">
        <v>1044</v>
      </c>
      <c r="B46" s="3" t="str">
        <f>VLOOKUP(A46,Dataset!A:L,2,FALSE)</f>
        <v>Elizabeth Williams</v>
      </c>
      <c r="C46" s="3" t="str">
        <f>VLOOKUP(A46,Dataset!A:L,3,FALSE)</f>
        <v>T-Shirts</v>
      </c>
      <c r="D46" s="3" t="str">
        <f>VLOOKUP(A46,Dataset!A:L,4,FALSE)</f>
        <v>Classic Tee</v>
      </c>
      <c r="E46" s="3">
        <f>VLOOKUP(A46,Dataset!A:L,8,FALSE)</f>
        <v>0</v>
      </c>
      <c r="F46" s="3">
        <f>VLOOKUP(A46,Dataset!A:L,12,FALSE)</f>
        <v>-80.23</v>
      </c>
    </row>
    <row r="47" spans="1:6">
      <c r="A47" s="3">
        <v>1045</v>
      </c>
      <c r="B47" s="3" t="str">
        <f>VLOOKUP(A47,Dataset!A:L,2,FALSE)</f>
        <v>Connie Mills</v>
      </c>
      <c r="C47" s="3" t="str">
        <f>VLOOKUP(A47,Dataset!A:L,3,FALSE)</f>
        <v>Accessories</v>
      </c>
      <c r="D47" s="3" t="str">
        <f>VLOOKUP(A47,Dataset!A:L,4,FALSE)</f>
        <v>Sunglasses</v>
      </c>
      <c r="E47" s="3">
        <f>VLOOKUP(A47,Dataset!A:L,8,FALSE)</f>
        <v>0</v>
      </c>
      <c r="F47" s="3">
        <f>VLOOKUP(A47,Dataset!A:L,12,FALSE)</f>
        <v>1323.75</v>
      </c>
    </row>
    <row r="48" spans="1:6">
      <c r="A48" s="3">
        <v>1046</v>
      </c>
      <c r="B48" s="3" t="str">
        <f>VLOOKUP(A48,Dataset!A:L,2,FALSE)</f>
        <v>Charlotte Cook</v>
      </c>
      <c r="C48" s="3" t="str">
        <f>VLOOKUP(A48,Dataset!A:L,3,FALSE)</f>
        <v>Jeans</v>
      </c>
      <c r="D48" s="3" t="str">
        <f>VLOOKUP(A48,Dataset!A:L,4,FALSE)</f>
        <v>Slim Fit Jeans</v>
      </c>
      <c r="E48" s="3">
        <f>VLOOKUP(A48,Dataset!A:L,8,FALSE)</f>
        <v>-195.35</v>
      </c>
      <c r="F48" s="3">
        <f>VLOOKUP(A48,Dataset!A:L,12,FALSE)</f>
        <v>1004.91</v>
      </c>
    </row>
    <row r="49" spans="1:6">
      <c r="A49" s="3">
        <v>1047</v>
      </c>
      <c r="B49" s="3" t="str">
        <f>VLOOKUP(A49,Dataset!A:L,2,FALSE)</f>
        <v>Matthew Thompson</v>
      </c>
      <c r="C49" s="3" t="str">
        <f>VLOOKUP(A49,Dataset!A:L,3,FALSE)</f>
        <v>Jeans</v>
      </c>
      <c r="D49" s="3" t="str">
        <f>VLOOKUP(A49,Dataset!A:L,4,FALSE)</f>
        <v>Straight Cut</v>
      </c>
      <c r="E49" s="3">
        <f>VLOOKUP(A49,Dataset!A:L,8,FALSE)</f>
        <v>0</v>
      </c>
      <c r="F49" s="3">
        <f>VLOOKUP(A49,Dataset!A:L,12,FALSE)</f>
        <v>-395.76</v>
      </c>
    </row>
    <row r="50" spans="1:6">
      <c r="A50" s="3">
        <v>1048</v>
      </c>
      <c r="B50" s="3" t="str">
        <f>VLOOKUP(A50,Dataset!A:L,2,FALSE)</f>
        <v>James Hughes</v>
      </c>
      <c r="C50" s="3" t="str">
        <f>VLOOKUP(A50,Dataset!A:L,3,FALSE)</f>
        <v>Jeans</v>
      </c>
      <c r="D50" s="3" t="str">
        <f>VLOOKUP(A50,Dataset!A:L,4,FALSE)</f>
        <v>Straight Cut</v>
      </c>
      <c r="E50" s="3">
        <f>VLOOKUP(A50,Dataset!A:L,8,FALSE)</f>
        <v>0</v>
      </c>
      <c r="F50" s="3">
        <f>VLOOKUP(A50,Dataset!A:L,12,FALSE)</f>
        <v>2409.2600000000002</v>
      </c>
    </row>
    <row r="51" spans="1:6">
      <c r="A51" s="3">
        <v>1049</v>
      </c>
      <c r="B51" s="3" t="str">
        <f>VLOOKUP(A51,Dataset!A:L,2,FALSE)</f>
        <v>Kimberly Anderson</v>
      </c>
      <c r="C51" s="3" t="str">
        <f>VLOOKUP(A51,Dataset!A:L,3,FALSE)</f>
        <v>T-Shirts</v>
      </c>
      <c r="D51" s="3" t="str">
        <f>VLOOKUP(A51,Dataset!A:L,4,FALSE)</f>
        <v>Graphic Tee</v>
      </c>
      <c r="E51" s="3">
        <f>VLOOKUP(A51,Dataset!A:L,8,FALSE)</f>
        <v>0</v>
      </c>
      <c r="F51" s="3">
        <f>VLOOKUP(A51,Dataset!A:L,12,FALSE)</f>
        <v>19.87</v>
      </c>
    </row>
    <row r="52" spans="1:6">
      <c r="A52" s="3">
        <v>1050</v>
      </c>
      <c r="B52" s="3" t="str">
        <f>VLOOKUP(A52,Dataset!A:L,2,FALSE)</f>
        <v>Matthew Schmidt</v>
      </c>
      <c r="C52" s="3" t="str">
        <f>VLOOKUP(A52,Dataset!A:L,3,FALSE)</f>
        <v>Jeans</v>
      </c>
      <c r="D52" s="3" t="str">
        <f>VLOOKUP(A52,Dataset!A:L,4,FALSE)</f>
        <v>Slim Fit Jeans</v>
      </c>
      <c r="E52" s="3">
        <f>VLOOKUP(A52,Dataset!A:L,8,FALSE)</f>
        <v>0</v>
      </c>
      <c r="F52" s="3">
        <f>VLOOKUP(A52,Dataset!A:L,12,FALSE)</f>
        <v>2904.29</v>
      </c>
    </row>
    <row r="53" spans="1:6">
      <c r="A53" s="3">
        <v>1051</v>
      </c>
      <c r="B53" s="3" t="str">
        <f>VLOOKUP(A53,Dataset!A:L,2,FALSE)</f>
        <v>Eric Wilson</v>
      </c>
      <c r="C53" s="3" t="str">
        <f>VLOOKUP(A53,Dataset!A:L,3,FALSE)</f>
        <v>Jeans</v>
      </c>
      <c r="D53" s="3" t="str">
        <f>VLOOKUP(A53,Dataset!A:L,4,FALSE)</f>
        <v>Boyfriend Jeans</v>
      </c>
      <c r="E53" s="3">
        <f>VLOOKUP(A53,Dataset!A:L,8,FALSE)</f>
        <v>0</v>
      </c>
      <c r="F53" s="3">
        <f>VLOOKUP(A53,Dataset!A:L,12,FALSE)</f>
        <v>2857.9</v>
      </c>
    </row>
    <row r="54" spans="1:6">
      <c r="A54" s="3">
        <v>1052</v>
      </c>
      <c r="B54" s="3" t="str">
        <f>VLOOKUP(A54,Dataset!A:L,2,FALSE)</f>
        <v>Zachary Ramos</v>
      </c>
      <c r="C54" s="3" t="str">
        <f>VLOOKUP(A54,Dataset!A:L,3,FALSE)</f>
        <v>Jeans</v>
      </c>
      <c r="D54" s="3" t="str">
        <f>VLOOKUP(A54,Dataset!A:L,4,FALSE)</f>
        <v>Ripped Denim</v>
      </c>
      <c r="E54" s="3">
        <f>VLOOKUP(A54,Dataset!A:L,8,FALSE)</f>
        <v>0</v>
      </c>
      <c r="F54" s="3">
        <f>VLOOKUP(A54,Dataset!A:L,12,FALSE)</f>
        <v>-11.15</v>
      </c>
    </row>
    <row r="55" spans="1:6">
      <c r="A55" s="3">
        <v>1053</v>
      </c>
      <c r="B55" s="3" t="str">
        <f>VLOOKUP(A55,Dataset!A:L,2,FALSE)</f>
        <v>Debra Pollard</v>
      </c>
      <c r="C55" s="3" t="str">
        <f>VLOOKUP(A55,Dataset!A:L,3,FALSE)</f>
        <v>Dresses</v>
      </c>
      <c r="D55" s="3" t="str">
        <f>VLOOKUP(A55,Dataset!A:L,4,FALSE)</f>
        <v>Maxi Dress</v>
      </c>
      <c r="E55" s="3">
        <f>VLOOKUP(A55,Dataset!A:L,8,FALSE)</f>
        <v>0</v>
      </c>
      <c r="F55" s="3">
        <f>VLOOKUP(A55,Dataset!A:L,12,FALSE)</f>
        <v>1057.24</v>
      </c>
    </row>
    <row r="56" spans="1:6">
      <c r="A56" s="3">
        <v>1054</v>
      </c>
      <c r="B56" s="3" t="str">
        <f>VLOOKUP(A56,Dataset!A:L,2,FALSE)</f>
        <v>Angela Martinez</v>
      </c>
      <c r="C56" s="3" t="str">
        <f>VLOOKUP(A56,Dataset!A:L,3,FALSE)</f>
        <v>T-Shirts</v>
      </c>
      <c r="D56" s="3" t="str">
        <f>VLOOKUP(A56,Dataset!A:L,4,FALSE)</f>
        <v>Classic Tee</v>
      </c>
      <c r="E56" s="3">
        <f>VLOOKUP(A56,Dataset!A:L,8,FALSE)</f>
        <v>0</v>
      </c>
      <c r="F56" s="3">
        <f>VLOOKUP(A56,Dataset!A:L,12,FALSE)</f>
        <v>1002.96</v>
      </c>
    </row>
    <row r="57" spans="1:6">
      <c r="A57" s="3">
        <v>1055</v>
      </c>
      <c r="B57" s="3" t="str">
        <f>VLOOKUP(A57,Dataset!A:L,2,FALSE)</f>
        <v>Brett Burch</v>
      </c>
      <c r="C57" s="3" t="str">
        <f>VLOOKUP(A57,Dataset!A:L,3,FALSE)</f>
        <v>Jeans</v>
      </c>
      <c r="D57" s="3" t="str">
        <f>VLOOKUP(A57,Dataset!A:L,4,FALSE)</f>
        <v>Boyfriend Jeans</v>
      </c>
      <c r="E57" s="3">
        <f>VLOOKUP(A57,Dataset!A:L,8,FALSE)</f>
        <v>0</v>
      </c>
      <c r="F57" s="3">
        <f>VLOOKUP(A57,Dataset!A:L,12,FALSE)</f>
        <v>1374.9</v>
      </c>
    </row>
    <row r="58" spans="1:6">
      <c r="A58" s="3">
        <v>1056</v>
      </c>
      <c r="B58" s="3" t="str">
        <f>VLOOKUP(A58,Dataset!A:L,2,FALSE)</f>
        <v>Jennifer English</v>
      </c>
      <c r="C58" s="3" t="str">
        <f>VLOOKUP(A58,Dataset!A:L,3,FALSE)</f>
        <v>Accessories</v>
      </c>
      <c r="D58" s="3" t="str">
        <f>VLOOKUP(A58,Dataset!A:L,4,FALSE)</f>
        <v>Sunglasses</v>
      </c>
      <c r="E58" s="3">
        <f>VLOOKUP(A58,Dataset!A:L,8,FALSE)</f>
        <v>0</v>
      </c>
      <c r="F58" s="3">
        <f>VLOOKUP(A58,Dataset!A:L,12,FALSE)</f>
        <v>-343.36</v>
      </c>
    </row>
    <row r="59" spans="1:6">
      <c r="A59" s="3">
        <v>1057</v>
      </c>
      <c r="B59" s="3" t="str">
        <f>VLOOKUP(A59,Dataset!A:L,2,FALSE)</f>
        <v>Penny Campbell</v>
      </c>
      <c r="C59" s="3" t="str">
        <f>VLOOKUP(A59,Dataset!A:L,3,FALSE)</f>
        <v>Jackets</v>
      </c>
      <c r="D59" s="3" t="str">
        <f>VLOOKUP(A59,Dataset!A:L,4,FALSE)</f>
        <v>Puffer Coat</v>
      </c>
      <c r="E59" s="3">
        <f>VLOOKUP(A59,Dataset!A:L,8,FALSE)</f>
        <v>0</v>
      </c>
      <c r="F59" s="3">
        <f>VLOOKUP(A59,Dataset!A:L,12,FALSE)</f>
        <v>1725.76</v>
      </c>
    </row>
    <row r="60" spans="1:6">
      <c r="A60" s="3">
        <v>1058</v>
      </c>
      <c r="B60" s="3" t="str">
        <f>VLOOKUP(A60,Dataset!A:L,2,FALSE)</f>
        <v>Karen Garcia</v>
      </c>
      <c r="C60" s="3" t="str">
        <f>VLOOKUP(A60,Dataset!A:L,3,FALSE)</f>
        <v>T-Shirts</v>
      </c>
      <c r="D60" s="3" t="str">
        <f>VLOOKUP(A60,Dataset!A:L,4,FALSE)</f>
        <v>Oversized T-shirt</v>
      </c>
      <c r="E60" s="3">
        <f>VLOOKUP(A60,Dataset!A:L,8,FALSE)</f>
        <v>0</v>
      </c>
      <c r="F60" s="3">
        <f>VLOOKUP(A60,Dataset!A:L,12,FALSE)</f>
        <v>1912.49</v>
      </c>
    </row>
    <row r="61" spans="1:6">
      <c r="A61" s="3">
        <v>1059</v>
      </c>
      <c r="B61" s="3" t="str">
        <f>VLOOKUP(A61,Dataset!A:L,2,FALSE)</f>
        <v>John Ramos</v>
      </c>
      <c r="C61" s="3" t="str">
        <f>VLOOKUP(A61,Dataset!A:L,3,FALSE)</f>
        <v>Jeans</v>
      </c>
      <c r="D61" s="3" t="str">
        <f>VLOOKUP(A61,Dataset!A:L,4,FALSE)</f>
        <v>Boyfriend Jeans</v>
      </c>
      <c r="E61" s="3">
        <f>VLOOKUP(A61,Dataset!A:L,8,FALSE)</f>
        <v>0</v>
      </c>
      <c r="F61" s="3">
        <f>VLOOKUP(A61,Dataset!A:L,12,FALSE)</f>
        <v>2218.42</v>
      </c>
    </row>
    <row r="62" spans="1:6">
      <c r="A62" s="3">
        <v>1060</v>
      </c>
      <c r="B62" s="3" t="str">
        <f>VLOOKUP(A62,Dataset!A:L,2,FALSE)</f>
        <v>Dylan Roberson</v>
      </c>
      <c r="C62" s="3" t="str">
        <f>VLOOKUP(A62,Dataset!A:L,3,FALSE)</f>
        <v>Jeans</v>
      </c>
      <c r="D62" s="3" t="str">
        <f>VLOOKUP(A62,Dataset!A:L,4,FALSE)</f>
        <v>Ripped Denim</v>
      </c>
      <c r="E62" s="3">
        <f>VLOOKUP(A62,Dataset!A:L,8,FALSE)</f>
        <v>0</v>
      </c>
      <c r="F62" s="3">
        <f>VLOOKUP(A62,Dataset!A:L,12,FALSE)</f>
        <v>94.96</v>
      </c>
    </row>
    <row r="63" spans="1:6">
      <c r="A63" s="3">
        <v>1061</v>
      </c>
      <c r="B63" s="3" t="str">
        <f>VLOOKUP(A63,Dataset!A:L,2,FALSE)</f>
        <v>Kelsey Reyes</v>
      </c>
      <c r="C63" s="3" t="str">
        <f>VLOOKUP(A63,Dataset!A:L,3,FALSE)</f>
        <v>Accessories</v>
      </c>
      <c r="D63" s="3" t="str">
        <f>VLOOKUP(A63,Dataset!A:L,4,FALSE)</f>
        <v>Belts</v>
      </c>
      <c r="E63" s="3">
        <f>VLOOKUP(A63,Dataset!A:L,8,FALSE)</f>
        <v>0</v>
      </c>
      <c r="F63" s="3">
        <f>VLOOKUP(A63,Dataset!A:L,12,FALSE)</f>
        <v>2536.3000000000002</v>
      </c>
    </row>
    <row r="64" spans="1:6">
      <c r="A64" s="3">
        <v>1062</v>
      </c>
      <c r="B64" s="3" t="str">
        <f>VLOOKUP(A64,Dataset!A:L,2,FALSE)</f>
        <v>Larry Gibson</v>
      </c>
      <c r="C64" s="3" t="str">
        <f>VLOOKUP(A64,Dataset!A:L,3,FALSE)</f>
        <v>Jeans</v>
      </c>
      <c r="D64" s="3" t="str">
        <f>VLOOKUP(A64,Dataset!A:L,4,FALSE)</f>
        <v>Ripped Denim</v>
      </c>
      <c r="E64" s="3">
        <f>VLOOKUP(A64,Dataset!A:L,8,FALSE)</f>
        <v>0</v>
      </c>
      <c r="F64" s="3">
        <f>VLOOKUP(A64,Dataset!A:L,12,FALSE)</f>
        <v>328.72</v>
      </c>
    </row>
    <row r="65" spans="1:6">
      <c r="A65" s="3">
        <v>1063</v>
      </c>
      <c r="B65" s="3" t="str">
        <f>VLOOKUP(A65,Dataset!A:L,2,FALSE)</f>
        <v>Kristin Ho</v>
      </c>
      <c r="C65" s="3" t="str">
        <f>VLOOKUP(A65,Dataset!A:L,3,FALSE)</f>
        <v>T-Shirts</v>
      </c>
      <c r="D65" s="3" t="str">
        <f>VLOOKUP(A65,Dataset!A:L,4,FALSE)</f>
        <v>Graphic Tee</v>
      </c>
      <c r="E65" s="3">
        <f>VLOOKUP(A65,Dataset!A:L,8,FALSE)</f>
        <v>0</v>
      </c>
      <c r="F65" s="3">
        <f>VLOOKUP(A65,Dataset!A:L,12,FALSE)</f>
        <v>2147.75</v>
      </c>
    </row>
    <row r="66" spans="1:6">
      <c r="A66" s="3">
        <v>1064</v>
      </c>
      <c r="B66" s="3" t="str">
        <f>VLOOKUP(A66,Dataset!A:L,2,FALSE)</f>
        <v>Jessica Johnston</v>
      </c>
      <c r="C66" s="3" t="str">
        <f>VLOOKUP(A66,Dataset!A:L,3,FALSE)</f>
        <v>Jackets</v>
      </c>
      <c r="D66" s="3" t="str">
        <f>VLOOKUP(A66,Dataset!A:L,4,FALSE)</f>
        <v>Denim Jacket</v>
      </c>
      <c r="E66" s="3">
        <f>VLOOKUP(A66,Dataset!A:L,8,FALSE)</f>
        <v>0</v>
      </c>
      <c r="F66" s="3">
        <f>VLOOKUP(A66,Dataset!A:L,12,FALSE)</f>
        <v>-901.74</v>
      </c>
    </row>
    <row r="67" spans="1:6">
      <c r="A67" s="3">
        <v>1065</v>
      </c>
      <c r="B67" s="3" t="str">
        <f>VLOOKUP(A67,Dataset!A:L,2,FALSE)</f>
        <v>Amanda Parker</v>
      </c>
      <c r="C67" s="3" t="str">
        <f>VLOOKUP(A67,Dataset!A:L,3,FALSE)</f>
        <v>Jeans</v>
      </c>
      <c r="D67" s="3" t="str">
        <f>VLOOKUP(A67,Dataset!A:L,4,FALSE)</f>
        <v>Boyfriend Jeans</v>
      </c>
      <c r="E67" s="3">
        <f>VLOOKUP(A67,Dataset!A:L,8,FALSE)</f>
        <v>0</v>
      </c>
      <c r="F67" s="3">
        <f>VLOOKUP(A67,Dataset!A:L,12,FALSE)</f>
        <v>2316.9699999999998</v>
      </c>
    </row>
    <row r="68" spans="1:6">
      <c r="A68" s="3">
        <v>1066</v>
      </c>
      <c r="B68" s="3" t="str">
        <f>VLOOKUP(A68,Dataset!A:L,2,FALSE)</f>
        <v>Joshua Figueroa</v>
      </c>
      <c r="C68" s="3" t="str">
        <f>VLOOKUP(A68,Dataset!A:L,3,FALSE)</f>
        <v>Shoes</v>
      </c>
      <c r="D68" s="3" t="str">
        <f>VLOOKUP(A68,Dataset!A:L,4,FALSE)</f>
        <v>Slip-ons</v>
      </c>
      <c r="E68" s="3">
        <f>VLOOKUP(A68,Dataset!A:L,8,FALSE)</f>
        <v>0</v>
      </c>
      <c r="F68" s="3">
        <f>VLOOKUP(A68,Dataset!A:L,12,FALSE)</f>
        <v>-252.78</v>
      </c>
    </row>
    <row r="69" spans="1:6">
      <c r="A69" s="3">
        <v>1067</v>
      </c>
      <c r="B69" s="3" t="str">
        <f>VLOOKUP(A69,Dataset!A:L,2,FALSE)</f>
        <v>Julie Howard</v>
      </c>
      <c r="C69" s="3" t="str">
        <f>VLOOKUP(A69,Dataset!A:L,3,FALSE)</f>
        <v>Dresses</v>
      </c>
      <c r="D69" s="3" t="str">
        <f>VLOOKUP(A69,Dataset!A:L,4,FALSE)</f>
        <v>Casual Midi</v>
      </c>
      <c r="E69" s="3">
        <f>VLOOKUP(A69,Dataset!A:L,8,FALSE)</f>
        <v>0</v>
      </c>
      <c r="F69" s="3">
        <f>VLOOKUP(A69,Dataset!A:L,12,FALSE)</f>
        <v>305.55</v>
      </c>
    </row>
    <row r="70" spans="1:6">
      <c r="A70" s="3">
        <v>1068</v>
      </c>
      <c r="B70" s="3" t="str">
        <f>VLOOKUP(A70,Dataset!A:L,2,FALSE)</f>
        <v>Brandon Lin</v>
      </c>
      <c r="C70" s="3" t="str">
        <f>VLOOKUP(A70,Dataset!A:L,3,FALSE)</f>
        <v>Dresses</v>
      </c>
      <c r="D70" s="3" t="str">
        <f>VLOOKUP(A70,Dataset!A:L,4,FALSE)</f>
        <v>Wrap Dress</v>
      </c>
      <c r="E70" s="3">
        <f>VLOOKUP(A70,Dataset!A:L,8,FALSE)</f>
        <v>0</v>
      </c>
      <c r="F70" s="3">
        <f>VLOOKUP(A70,Dataset!A:L,12,FALSE)</f>
        <v>1719.9</v>
      </c>
    </row>
    <row r="71" spans="1:6">
      <c r="A71" s="3">
        <v>1069</v>
      </c>
      <c r="B71" s="3" t="str">
        <f>VLOOKUP(A71,Dataset!A:L,2,FALSE)</f>
        <v>Anna Allen</v>
      </c>
      <c r="C71" s="3" t="str">
        <f>VLOOKUP(A71,Dataset!A:L,3,FALSE)</f>
        <v>Accessories</v>
      </c>
      <c r="D71" s="3" t="str">
        <f>VLOOKUP(A71,Dataset!A:L,4,FALSE)</f>
        <v>Watches</v>
      </c>
      <c r="E71" s="3">
        <f>VLOOKUP(A71,Dataset!A:L,8,FALSE)</f>
        <v>-546.53</v>
      </c>
      <c r="F71" s="3">
        <f>VLOOKUP(A71,Dataset!A:L,12,FALSE)</f>
        <v>-992.61</v>
      </c>
    </row>
    <row r="72" spans="1:6">
      <c r="A72" s="3">
        <v>1070</v>
      </c>
      <c r="B72" s="3" t="str">
        <f>VLOOKUP(A72,Dataset!A:L,2,FALSE)</f>
        <v>Kimberly Ho</v>
      </c>
      <c r="C72" s="3" t="str">
        <f>VLOOKUP(A72,Dataset!A:L,3,FALSE)</f>
        <v>Jackets</v>
      </c>
      <c r="D72" s="3" t="str">
        <f>VLOOKUP(A72,Dataset!A:L,4,FALSE)</f>
        <v>Leather Jacket</v>
      </c>
      <c r="E72" s="3">
        <f>VLOOKUP(A72,Dataset!A:L,8,FALSE)</f>
        <v>0</v>
      </c>
      <c r="F72" s="3">
        <f>VLOOKUP(A72,Dataset!A:L,12,FALSE)</f>
        <v>1383.48</v>
      </c>
    </row>
    <row r="73" spans="1:6">
      <c r="A73" s="3">
        <v>1071</v>
      </c>
      <c r="B73" s="3" t="str">
        <f>VLOOKUP(A73,Dataset!A:L,2,FALSE)</f>
        <v>Nancy White</v>
      </c>
      <c r="C73" s="3" t="str">
        <f>VLOOKUP(A73,Dataset!A:L,3,FALSE)</f>
        <v>Accessories</v>
      </c>
      <c r="D73" s="3" t="str">
        <f>VLOOKUP(A73,Dataset!A:L,4,FALSE)</f>
        <v>Sunglasses</v>
      </c>
      <c r="E73" s="3">
        <f>VLOOKUP(A73,Dataset!A:L,8,FALSE)</f>
        <v>0</v>
      </c>
      <c r="F73" s="3">
        <f>VLOOKUP(A73,Dataset!A:L,12,FALSE)</f>
        <v>2131.4299999999998</v>
      </c>
    </row>
    <row r="74" spans="1:6">
      <c r="A74" s="3">
        <v>1072</v>
      </c>
      <c r="B74" s="3" t="str">
        <f>VLOOKUP(A74,Dataset!A:L,2,FALSE)</f>
        <v>Eric Salazar</v>
      </c>
      <c r="C74" s="3" t="str">
        <f>VLOOKUP(A74,Dataset!A:L,3,FALSE)</f>
        <v>Dresses</v>
      </c>
      <c r="D74" s="3" t="str">
        <f>VLOOKUP(A74,Dataset!A:L,4,FALSE)</f>
        <v>Maxi Dress</v>
      </c>
      <c r="E74" s="3">
        <f>VLOOKUP(A74,Dataset!A:L,8,FALSE)</f>
        <v>0</v>
      </c>
      <c r="F74" s="3">
        <f>VLOOKUP(A74,Dataset!A:L,12,FALSE)</f>
        <v>2878.09</v>
      </c>
    </row>
    <row r="75" spans="1:6">
      <c r="A75" s="3">
        <v>1073</v>
      </c>
      <c r="B75" s="3" t="str">
        <f>VLOOKUP(A75,Dataset!A:L,2,FALSE)</f>
        <v>Michael Williamson</v>
      </c>
      <c r="C75" s="3" t="str">
        <f>VLOOKUP(A75,Dataset!A:L,3,FALSE)</f>
        <v>Jeans</v>
      </c>
      <c r="D75" s="3" t="str">
        <f>VLOOKUP(A75,Dataset!A:L,4,FALSE)</f>
        <v>Straight Cut</v>
      </c>
      <c r="E75" s="3">
        <f>VLOOKUP(A75,Dataset!A:L,8,FALSE)</f>
        <v>0</v>
      </c>
      <c r="F75" s="3">
        <f>VLOOKUP(A75,Dataset!A:L,12,FALSE)</f>
        <v>368.69</v>
      </c>
    </row>
    <row r="76" spans="1:6">
      <c r="A76" s="3">
        <v>1074</v>
      </c>
      <c r="B76" s="3" t="str">
        <f>VLOOKUP(A76,Dataset!A:L,2,FALSE)</f>
        <v>Lynn Morales</v>
      </c>
      <c r="C76" s="3" t="str">
        <f>VLOOKUP(A76,Dataset!A:L,3,FALSE)</f>
        <v>Dresses</v>
      </c>
      <c r="D76" s="3" t="str">
        <f>VLOOKUP(A76,Dataset!A:L,4,FALSE)</f>
        <v>Casual Midi</v>
      </c>
      <c r="E76" s="3">
        <f>VLOOKUP(A76,Dataset!A:L,8,FALSE)</f>
        <v>0</v>
      </c>
      <c r="F76" s="3">
        <f>VLOOKUP(A76,Dataset!A:L,12,FALSE)</f>
        <v>192.91</v>
      </c>
    </row>
    <row r="77" spans="1:6">
      <c r="A77" s="3">
        <v>1075</v>
      </c>
      <c r="B77" s="3" t="str">
        <f>VLOOKUP(A77,Dataset!A:L,2,FALSE)</f>
        <v>Jennifer Horn</v>
      </c>
      <c r="C77" s="3" t="str">
        <f>VLOOKUP(A77,Dataset!A:L,3,FALSE)</f>
        <v>T-Shirts</v>
      </c>
      <c r="D77" s="3" t="str">
        <f>VLOOKUP(A77,Dataset!A:L,4,FALSE)</f>
        <v>Crop Top</v>
      </c>
      <c r="E77" s="3">
        <f>VLOOKUP(A77,Dataset!A:L,8,FALSE)</f>
        <v>0</v>
      </c>
      <c r="F77" s="3">
        <f>VLOOKUP(A77,Dataset!A:L,12,FALSE)</f>
        <v>2418.8000000000002</v>
      </c>
    </row>
    <row r="78" spans="1:6">
      <c r="A78" s="3">
        <v>1076</v>
      </c>
      <c r="B78" s="3" t="str">
        <f>VLOOKUP(A78,Dataset!A:L,2,FALSE)</f>
        <v>Lori Preston</v>
      </c>
      <c r="C78" s="3" t="str">
        <f>VLOOKUP(A78,Dataset!A:L,3,FALSE)</f>
        <v>T-Shirts</v>
      </c>
      <c r="D78" s="3" t="str">
        <f>VLOOKUP(A78,Dataset!A:L,4,FALSE)</f>
        <v>Oversized T-shirt</v>
      </c>
      <c r="E78" s="3">
        <f>VLOOKUP(A78,Dataset!A:L,8,FALSE)</f>
        <v>0</v>
      </c>
      <c r="F78" s="3">
        <f>VLOOKUP(A78,Dataset!A:L,12,FALSE)</f>
        <v>1408.61</v>
      </c>
    </row>
    <row r="79" spans="1:6">
      <c r="A79" s="3">
        <v>1077</v>
      </c>
      <c r="B79" s="3" t="str">
        <f>VLOOKUP(A79,Dataset!A:L,2,FALSE)</f>
        <v>Gabriel Parrish</v>
      </c>
      <c r="C79" s="3" t="str">
        <f>VLOOKUP(A79,Dataset!A:L,3,FALSE)</f>
        <v>T-Shirts</v>
      </c>
      <c r="D79" s="3" t="str">
        <f>VLOOKUP(A79,Dataset!A:L,4,FALSE)</f>
        <v>Oversized T-shirt</v>
      </c>
      <c r="E79" s="3">
        <f>VLOOKUP(A79,Dataset!A:L,8,FALSE)</f>
        <v>0</v>
      </c>
      <c r="F79" s="3">
        <f>VLOOKUP(A79,Dataset!A:L,12,FALSE)</f>
        <v>902.52</v>
      </c>
    </row>
    <row r="80" spans="1:6">
      <c r="A80" s="3">
        <v>1078</v>
      </c>
      <c r="B80" s="3" t="str">
        <f>VLOOKUP(A80,Dataset!A:L,2,FALSE)</f>
        <v>Debbie Raymond</v>
      </c>
      <c r="C80" s="3" t="str">
        <f>VLOOKUP(A80,Dataset!A:L,3,FALSE)</f>
        <v>Jackets</v>
      </c>
      <c r="D80" s="3" t="str">
        <f>VLOOKUP(A80,Dataset!A:L,4,FALSE)</f>
        <v>Leather Jacket</v>
      </c>
      <c r="E80" s="3">
        <f>VLOOKUP(A80,Dataset!A:L,8,FALSE)</f>
        <v>0</v>
      </c>
      <c r="F80" s="3">
        <f>VLOOKUP(A80,Dataset!A:L,12,FALSE)</f>
        <v>-819.94</v>
      </c>
    </row>
    <row r="81" spans="1:6">
      <c r="A81" s="3">
        <v>1079</v>
      </c>
      <c r="B81" s="3" t="str">
        <f>VLOOKUP(A81,Dataset!A:L,2,FALSE)</f>
        <v>Cheryl Clark</v>
      </c>
      <c r="C81" s="3" t="str">
        <f>VLOOKUP(A81,Dataset!A:L,3,FALSE)</f>
        <v>T-Shirts</v>
      </c>
      <c r="D81" s="3" t="str">
        <f>VLOOKUP(A81,Dataset!A:L,4,FALSE)</f>
        <v>Classic Tee</v>
      </c>
      <c r="E81" s="3">
        <f>VLOOKUP(A81,Dataset!A:L,8,FALSE)</f>
        <v>0</v>
      </c>
      <c r="F81" s="3">
        <f>VLOOKUP(A81,Dataset!A:L,12,FALSE)</f>
        <v>-22.55</v>
      </c>
    </row>
    <row r="82" spans="1:6">
      <c r="A82" s="3">
        <v>1080</v>
      </c>
      <c r="B82" s="3" t="str">
        <f>VLOOKUP(A82,Dataset!A:L,2,FALSE)</f>
        <v>Laura Thompson</v>
      </c>
      <c r="C82" s="3" t="str">
        <f>VLOOKUP(A82,Dataset!A:L,3,FALSE)</f>
        <v>T-Shirts</v>
      </c>
      <c r="D82" s="3" t="str">
        <f>VLOOKUP(A82,Dataset!A:L,4,FALSE)</f>
        <v>Crop Top</v>
      </c>
      <c r="E82" s="3">
        <f>VLOOKUP(A82,Dataset!A:L,8,FALSE)</f>
        <v>0</v>
      </c>
      <c r="F82" s="3">
        <f>VLOOKUP(A82,Dataset!A:L,12,FALSE)</f>
        <v>-302.97000000000003</v>
      </c>
    </row>
    <row r="83" spans="1:6">
      <c r="A83" s="3">
        <v>1081</v>
      </c>
      <c r="B83" s="3" t="str">
        <f>VLOOKUP(A83,Dataset!A:L,2,FALSE)</f>
        <v>Mary Lin</v>
      </c>
      <c r="C83" s="3" t="str">
        <f>VLOOKUP(A83,Dataset!A:L,3,FALSE)</f>
        <v>Jeans</v>
      </c>
      <c r="D83" s="3" t="str">
        <f>VLOOKUP(A83,Dataset!A:L,4,FALSE)</f>
        <v>Boyfriend Jeans</v>
      </c>
      <c r="E83" s="3">
        <f>VLOOKUP(A83,Dataset!A:L,8,FALSE)</f>
        <v>5469.79</v>
      </c>
      <c r="F83" s="3">
        <f>VLOOKUP(A83,Dataset!A:L,12,FALSE)</f>
        <v>-361.78</v>
      </c>
    </row>
    <row r="84" spans="1:6">
      <c r="A84" s="3">
        <v>1082</v>
      </c>
      <c r="B84" s="3" t="str">
        <f>VLOOKUP(A84,Dataset!A:L,2,FALSE)</f>
        <v>Nicholas White</v>
      </c>
      <c r="C84" s="3" t="str">
        <f>VLOOKUP(A84,Dataset!A:L,3,FALSE)</f>
        <v>Dresses</v>
      </c>
      <c r="D84" s="3" t="str">
        <f>VLOOKUP(A84,Dataset!A:L,4,FALSE)</f>
        <v>Bodycon</v>
      </c>
      <c r="E84" s="3">
        <f>VLOOKUP(A84,Dataset!A:L,8,FALSE)</f>
        <v>0</v>
      </c>
      <c r="F84" s="3">
        <f>VLOOKUP(A84,Dataset!A:L,12,FALSE)</f>
        <v>712.91</v>
      </c>
    </row>
    <row r="85" spans="1:6">
      <c r="A85" s="3">
        <v>1083</v>
      </c>
      <c r="B85" s="3" t="str">
        <f>VLOOKUP(A85,Dataset!A:L,2,FALSE)</f>
        <v>Timothy Farmer</v>
      </c>
      <c r="C85" s="3" t="str">
        <f>VLOOKUP(A85,Dataset!A:L,3,FALSE)</f>
        <v>Jackets</v>
      </c>
      <c r="D85" s="3" t="str">
        <f>VLOOKUP(A85,Dataset!A:L,4,FALSE)</f>
        <v>Bomber Jacket</v>
      </c>
      <c r="E85" s="3">
        <f>VLOOKUP(A85,Dataset!A:L,8,FALSE)</f>
        <v>0</v>
      </c>
      <c r="F85" s="3">
        <f>VLOOKUP(A85,Dataset!A:L,12,FALSE)</f>
        <v>-612.62</v>
      </c>
    </row>
    <row r="86" spans="1:6">
      <c r="A86" s="3">
        <v>1084</v>
      </c>
      <c r="B86" s="3" t="str">
        <f>VLOOKUP(A86,Dataset!A:L,2,FALSE)</f>
        <v>Kevin Martinez</v>
      </c>
      <c r="C86" s="3" t="str">
        <f>VLOOKUP(A86,Dataset!A:L,3,FALSE)</f>
        <v>Shoes</v>
      </c>
      <c r="D86" s="3" t="str">
        <f>VLOOKUP(A86,Dataset!A:L,4,FALSE)</f>
        <v>Loafers</v>
      </c>
      <c r="E86" s="3">
        <f>VLOOKUP(A86,Dataset!A:L,8,FALSE)</f>
        <v>0</v>
      </c>
      <c r="F86" s="3">
        <f>VLOOKUP(A86,Dataset!A:L,12,FALSE)</f>
        <v>2458.0700000000002</v>
      </c>
    </row>
    <row r="87" spans="1:6">
      <c r="A87" s="3">
        <v>1085</v>
      </c>
      <c r="B87" s="3" t="str">
        <f>VLOOKUP(A87,Dataset!A:L,2,FALSE)</f>
        <v>James Martinez</v>
      </c>
      <c r="C87" s="3" t="str">
        <f>VLOOKUP(A87,Dataset!A:L,3,FALSE)</f>
        <v>Shoes</v>
      </c>
      <c r="D87" s="3" t="str">
        <f>VLOOKUP(A87,Dataset!A:L,4,FALSE)</f>
        <v>Slip-ons</v>
      </c>
      <c r="E87" s="3">
        <f>VLOOKUP(A87,Dataset!A:L,8,FALSE)</f>
        <v>0</v>
      </c>
      <c r="F87" s="3">
        <f>VLOOKUP(A87,Dataset!A:L,12,FALSE)</f>
        <v>264.73</v>
      </c>
    </row>
    <row r="88" spans="1:6">
      <c r="A88" s="3">
        <v>1086</v>
      </c>
      <c r="B88" s="3" t="str">
        <f>VLOOKUP(A88,Dataset!A:L,2,FALSE)</f>
        <v>Douglas Nelson</v>
      </c>
      <c r="C88" s="3" t="str">
        <f>VLOOKUP(A88,Dataset!A:L,3,FALSE)</f>
        <v>Accessories</v>
      </c>
      <c r="D88" s="3" t="str">
        <f>VLOOKUP(A88,Dataset!A:L,4,FALSE)</f>
        <v>Sunglasses</v>
      </c>
      <c r="E88" s="3">
        <f>VLOOKUP(A88,Dataset!A:L,8,FALSE)</f>
        <v>0</v>
      </c>
      <c r="F88" s="3">
        <f>VLOOKUP(A88,Dataset!A:L,12,FALSE)</f>
        <v>-865.22</v>
      </c>
    </row>
    <row r="89" spans="1:6">
      <c r="A89" s="3">
        <v>1087</v>
      </c>
      <c r="B89" s="3" t="str">
        <f>VLOOKUP(A89,Dataset!A:L,2,FALSE)</f>
        <v>Thomas Ramirez</v>
      </c>
      <c r="C89" s="3" t="str">
        <f>VLOOKUP(A89,Dataset!A:L,3,FALSE)</f>
        <v>Jeans</v>
      </c>
      <c r="D89" s="3" t="str">
        <f>VLOOKUP(A89,Dataset!A:L,4,FALSE)</f>
        <v>Ripped Denim</v>
      </c>
      <c r="E89" s="3">
        <f>VLOOKUP(A89,Dataset!A:L,8,FALSE)</f>
        <v>0</v>
      </c>
      <c r="F89" s="3">
        <f>VLOOKUP(A89,Dataset!A:L,12,FALSE)</f>
        <v>2790.95</v>
      </c>
    </row>
    <row r="90" spans="1:6">
      <c r="A90" s="3">
        <v>1088</v>
      </c>
      <c r="B90" s="3" t="str">
        <f>VLOOKUP(A90,Dataset!A:L,2,FALSE)</f>
        <v>David Faulkner</v>
      </c>
      <c r="C90" s="3" t="str">
        <f>VLOOKUP(A90,Dataset!A:L,3,FALSE)</f>
        <v>Accessories</v>
      </c>
      <c r="D90" s="3" t="str">
        <f>VLOOKUP(A90,Dataset!A:L,4,FALSE)</f>
        <v>Caps</v>
      </c>
      <c r="E90" s="3">
        <f>VLOOKUP(A90,Dataset!A:L,8,FALSE)</f>
        <v>0</v>
      </c>
      <c r="F90" s="3">
        <f>VLOOKUP(A90,Dataset!A:L,12,FALSE)</f>
        <v>1374.27</v>
      </c>
    </row>
    <row r="91" spans="1:6">
      <c r="A91" s="3">
        <v>1089</v>
      </c>
      <c r="B91" s="3" t="str">
        <f>VLOOKUP(A91,Dataset!A:L,2,FALSE)</f>
        <v>Dennis Ross</v>
      </c>
      <c r="C91" s="3" t="str">
        <f>VLOOKUP(A91,Dataset!A:L,3,FALSE)</f>
        <v>Shoes</v>
      </c>
      <c r="D91" s="3" t="str">
        <f>VLOOKUP(A91,Dataset!A:L,4,FALSE)</f>
        <v>Slip-ons</v>
      </c>
      <c r="E91" s="3">
        <f>VLOOKUP(A91,Dataset!A:L,8,FALSE)</f>
        <v>0</v>
      </c>
      <c r="F91" s="3">
        <f>VLOOKUP(A91,Dataset!A:L,12,FALSE)</f>
        <v>-355.26</v>
      </c>
    </row>
    <row r="92" spans="1:6">
      <c r="A92" s="3">
        <v>1090</v>
      </c>
      <c r="B92" s="3" t="str">
        <f>VLOOKUP(A92,Dataset!A:L,2,FALSE)</f>
        <v>Heather Arnold</v>
      </c>
      <c r="C92" s="3" t="str">
        <f>VLOOKUP(A92,Dataset!A:L,3,FALSE)</f>
        <v>Shoes</v>
      </c>
      <c r="D92" s="3" t="str">
        <f>VLOOKUP(A92,Dataset!A:L,4,FALSE)</f>
        <v>Slip-ons</v>
      </c>
      <c r="E92" s="3">
        <f>VLOOKUP(A92,Dataset!A:L,8,FALSE)</f>
        <v>0</v>
      </c>
      <c r="F92" s="3">
        <f>VLOOKUP(A92,Dataset!A:L,12,FALSE)</f>
        <v>-888.86</v>
      </c>
    </row>
    <row r="93" spans="1:6">
      <c r="A93" s="3">
        <v>1091</v>
      </c>
      <c r="B93" s="3" t="str">
        <f>VLOOKUP(A93,Dataset!A:L,2,FALSE)</f>
        <v>David Bridges</v>
      </c>
      <c r="C93" s="3" t="str">
        <f>VLOOKUP(A93,Dataset!A:L,3,FALSE)</f>
        <v>Accessories</v>
      </c>
      <c r="D93" s="3" t="str">
        <f>VLOOKUP(A93,Dataset!A:L,4,FALSE)</f>
        <v>Belts</v>
      </c>
      <c r="E93" s="3">
        <f>VLOOKUP(A93,Dataset!A:L,8,FALSE)</f>
        <v>0</v>
      </c>
      <c r="F93" s="3">
        <f>VLOOKUP(A93,Dataset!A:L,12,FALSE)</f>
        <v>156.43</v>
      </c>
    </row>
    <row r="94" spans="1:6">
      <c r="A94" s="3">
        <v>1092</v>
      </c>
      <c r="B94" s="3" t="str">
        <f>VLOOKUP(A94,Dataset!A:L,2,FALSE)</f>
        <v>Jennifer Keller</v>
      </c>
      <c r="C94" s="3" t="str">
        <f>VLOOKUP(A94,Dataset!A:L,3,FALSE)</f>
        <v>Dresses</v>
      </c>
      <c r="D94" s="3" t="str">
        <f>VLOOKUP(A94,Dataset!A:L,4,FALSE)</f>
        <v>Bodycon</v>
      </c>
      <c r="E94" s="3">
        <f>VLOOKUP(A94,Dataset!A:L,8,FALSE)</f>
        <v>0</v>
      </c>
      <c r="F94" s="3">
        <f>VLOOKUP(A94,Dataset!A:L,12,FALSE)</f>
        <v>1122.6600000000001</v>
      </c>
    </row>
    <row r="95" spans="1:6">
      <c r="A95" s="3">
        <v>1093</v>
      </c>
      <c r="B95" s="3" t="str">
        <f>VLOOKUP(A95,Dataset!A:L,2,FALSE)</f>
        <v>Amanda Myers</v>
      </c>
      <c r="C95" s="3" t="str">
        <f>VLOOKUP(A95,Dataset!A:L,3,FALSE)</f>
        <v>Dresses</v>
      </c>
      <c r="D95" s="3" t="str">
        <f>VLOOKUP(A95,Dataset!A:L,4,FALSE)</f>
        <v>Bodycon</v>
      </c>
      <c r="E95" s="3">
        <f>VLOOKUP(A95,Dataset!A:L,8,FALSE)</f>
        <v>0</v>
      </c>
      <c r="F95" s="3">
        <f>VLOOKUP(A95,Dataset!A:L,12,FALSE)</f>
        <v>2966.76</v>
      </c>
    </row>
    <row r="96" spans="1:6">
      <c r="A96" s="3">
        <v>1094</v>
      </c>
      <c r="B96" s="3" t="str">
        <f>VLOOKUP(A96,Dataset!A:L,2,FALSE)</f>
        <v>Betty Middleton</v>
      </c>
      <c r="C96" s="3" t="str">
        <f>VLOOKUP(A96,Dataset!A:L,3,FALSE)</f>
        <v>Jackets</v>
      </c>
      <c r="D96" s="3" t="str">
        <f>VLOOKUP(A96,Dataset!A:L,4,FALSE)</f>
        <v>Denim Jacket</v>
      </c>
      <c r="E96" s="3">
        <f>VLOOKUP(A96,Dataset!A:L,8,FALSE)</f>
        <v>0</v>
      </c>
      <c r="F96" s="3">
        <f>VLOOKUP(A96,Dataset!A:L,12,FALSE)</f>
        <v>1901.7</v>
      </c>
    </row>
    <row r="97" spans="1:6">
      <c r="A97" s="3">
        <v>1035</v>
      </c>
      <c r="B97" s="3" t="str">
        <f>VLOOKUP(A97,Dataset!A:L,2,FALSE)</f>
        <v>Joshua Thomas</v>
      </c>
      <c r="C97" s="3" t="str">
        <f>VLOOKUP(A97,Dataset!A:L,3,FALSE)</f>
        <v>Jackets</v>
      </c>
      <c r="D97" s="3" t="str">
        <f>VLOOKUP(A97,Dataset!A:L,4,FALSE)</f>
        <v>Bomber Jacket</v>
      </c>
      <c r="E97" s="3">
        <f>VLOOKUP(A97,Dataset!A:L,8,FALSE)</f>
        <v>0</v>
      </c>
      <c r="F97" s="3">
        <f>VLOOKUP(A97,Dataset!A:L,12,FALSE)</f>
        <v>-199.18</v>
      </c>
    </row>
    <row r="98" spans="1:6">
      <c r="A98" s="3">
        <v>1033</v>
      </c>
      <c r="B98" s="3" t="str">
        <f>VLOOKUP(A98,Dataset!A:L,2,FALSE)</f>
        <v>Jonathan Neal</v>
      </c>
      <c r="C98" s="3" t="str">
        <f>VLOOKUP(A98,Dataset!A:L,3,FALSE)</f>
        <v>Jeans</v>
      </c>
      <c r="D98" s="3" t="str">
        <f>VLOOKUP(A98,Dataset!A:L,4,FALSE)</f>
        <v>Straight Cut</v>
      </c>
      <c r="E98" s="3">
        <f>VLOOKUP(A98,Dataset!A:L,8,FALSE)</f>
        <v>0</v>
      </c>
      <c r="F98" s="3">
        <f>VLOOKUP(A98,Dataset!A:L,12,FALSE)</f>
        <v>903.69</v>
      </c>
    </row>
    <row r="99" spans="1:6">
      <c r="A99" s="3">
        <v>1097</v>
      </c>
      <c r="B99" s="3" t="str">
        <f>VLOOKUP(A99,Dataset!A:L,2,FALSE)</f>
        <v>Amber Smith</v>
      </c>
      <c r="C99" s="3" t="str">
        <f>VLOOKUP(A99,Dataset!A:L,3,FALSE)</f>
        <v>Accessories</v>
      </c>
      <c r="D99" s="3" t="str">
        <f>VLOOKUP(A99,Dataset!A:L,4,FALSE)</f>
        <v>Sunglasses</v>
      </c>
      <c r="E99" s="3">
        <f>VLOOKUP(A99,Dataset!A:L,8,FALSE)</f>
        <v>0</v>
      </c>
      <c r="F99" s="3">
        <f>VLOOKUP(A99,Dataset!A:L,12,FALSE)</f>
        <v>1141.1500000000001</v>
      </c>
    </row>
    <row r="100" spans="1:6">
      <c r="A100" s="3">
        <v>1098</v>
      </c>
      <c r="B100" s="3" t="str">
        <f>VLOOKUP(A100,Dataset!A:L,2,FALSE)</f>
        <v>Diana Jones</v>
      </c>
      <c r="C100" s="3" t="str">
        <f>VLOOKUP(A100,Dataset!A:L,3,FALSE)</f>
        <v>Accessories</v>
      </c>
      <c r="D100" s="3" t="str">
        <f>VLOOKUP(A100,Dataset!A:L,4,FALSE)</f>
        <v>Caps</v>
      </c>
      <c r="E100" s="3">
        <f>VLOOKUP(A100,Dataset!A:L,8,FALSE)</f>
        <v>0</v>
      </c>
      <c r="F100" s="3">
        <f>VLOOKUP(A100,Dataset!A:L,12,FALSE)</f>
        <v>129.37</v>
      </c>
    </row>
    <row r="101" spans="1:6">
      <c r="A101" s="3">
        <v>1099</v>
      </c>
      <c r="B101" s="3" t="str">
        <f>VLOOKUP(A101,Dataset!A:L,2,FALSE)</f>
        <v>Valerie Walker</v>
      </c>
      <c r="C101" s="3" t="str">
        <f>VLOOKUP(A101,Dataset!A:L,3,FALSE)</f>
        <v>Shoes</v>
      </c>
      <c r="D101" s="3" t="str">
        <f>VLOOKUP(A101,Dataset!A:L,4,FALSE)</f>
        <v>Loafers</v>
      </c>
      <c r="E101" s="3">
        <f>VLOOKUP(A101,Dataset!A:L,8,FALSE)</f>
        <v>0</v>
      </c>
      <c r="F101" s="3">
        <f>VLOOKUP(A101,Dataset!A:L,12,FALSE)</f>
        <v>300.02</v>
      </c>
    </row>
    <row r="102" spans="1:6">
      <c r="A102" s="3">
        <v>1100</v>
      </c>
      <c r="B102" s="3" t="str">
        <f>VLOOKUP(A102,Dataset!A:L,2,FALSE)</f>
        <v>Daniel Brown</v>
      </c>
      <c r="C102" s="3" t="str">
        <f>VLOOKUP(A102,Dataset!A:L,3,FALSE)</f>
        <v>Shoes</v>
      </c>
      <c r="D102" s="3" t="str">
        <f>VLOOKUP(A102,Dataset!A:L,4,FALSE)</f>
        <v>Boots</v>
      </c>
      <c r="E102" s="3">
        <f>VLOOKUP(A102,Dataset!A:L,8,FALSE)</f>
        <v>0</v>
      </c>
      <c r="F102" s="3">
        <f>VLOOKUP(A102,Dataset!A:L,12,FALSE)</f>
        <v>2493.5</v>
      </c>
    </row>
    <row r="103" spans="1:6">
      <c r="A103" s="3">
        <v>1101</v>
      </c>
      <c r="B103" s="3" t="str">
        <f>VLOOKUP(A103,Dataset!A:L,2,FALSE)</f>
        <v>Stephen Smith</v>
      </c>
      <c r="C103" s="3" t="str">
        <f>VLOOKUP(A103,Dataset!A:L,3,FALSE)</f>
        <v>Jeans</v>
      </c>
      <c r="D103" s="3" t="str">
        <f>VLOOKUP(A103,Dataset!A:L,4,FALSE)</f>
        <v>Boyfriend Jeans</v>
      </c>
      <c r="E103" s="3">
        <f>VLOOKUP(A103,Dataset!A:L,8,FALSE)</f>
        <v>0</v>
      </c>
      <c r="F103" s="3">
        <f>VLOOKUP(A103,Dataset!A:L,12,FALSE)</f>
        <v>2962.73</v>
      </c>
    </row>
    <row r="104" spans="1:6">
      <c r="A104" s="3">
        <v>1102</v>
      </c>
      <c r="B104" s="3" t="str">
        <f>VLOOKUP(A104,Dataset!A:L,2,FALSE)</f>
        <v>Kimberly Walter</v>
      </c>
      <c r="C104" s="3" t="str">
        <f>VLOOKUP(A104,Dataset!A:L,3,FALSE)</f>
        <v>Jeans</v>
      </c>
      <c r="D104" s="3" t="str">
        <f>VLOOKUP(A104,Dataset!A:L,4,FALSE)</f>
        <v>Boyfriend Jeans</v>
      </c>
      <c r="E104" s="3">
        <f>VLOOKUP(A104,Dataset!A:L,8,FALSE)</f>
        <v>0</v>
      </c>
      <c r="F104" s="3">
        <f>VLOOKUP(A104,Dataset!A:L,12,FALSE)</f>
        <v>2776.7</v>
      </c>
    </row>
    <row r="105" spans="1:6">
      <c r="A105" s="3">
        <v>1103</v>
      </c>
      <c r="B105" s="3" t="str">
        <f>VLOOKUP(A105,Dataset!A:L,2,FALSE)</f>
        <v>Brandon Webb</v>
      </c>
      <c r="C105" s="3" t="str">
        <f>VLOOKUP(A105,Dataset!A:L,3,FALSE)</f>
        <v>Dresses</v>
      </c>
      <c r="D105" s="3" t="str">
        <f>VLOOKUP(A105,Dataset!A:L,4,FALSE)</f>
        <v>Bodycon</v>
      </c>
      <c r="E105" s="3">
        <f>VLOOKUP(A105,Dataset!A:L,8,FALSE)</f>
        <v>0</v>
      </c>
      <c r="F105" s="3">
        <f>VLOOKUP(A105,Dataset!A:L,12,FALSE)</f>
        <v>1713.47</v>
      </c>
    </row>
    <row r="106" spans="1:6">
      <c r="A106" s="3">
        <v>1104</v>
      </c>
      <c r="B106" s="3" t="str">
        <f>VLOOKUP(A106,Dataset!A:L,2,FALSE)</f>
        <v>Andrew Moreno</v>
      </c>
      <c r="C106" s="3" t="str">
        <f>VLOOKUP(A106,Dataset!A:L,3,FALSE)</f>
        <v>Dresses</v>
      </c>
      <c r="D106" s="3" t="str">
        <f>VLOOKUP(A106,Dataset!A:L,4,FALSE)</f>
        <v>Maxi Dress</v>
      </c>
      <c r="E106" s="3">
        <f>VLOOKUP(A106,Dataset!A:L,8,FALSE)</f>
        <v>0</v>
      </c>
      <c r="F106" s="3">
        <f>VLOOKUP(A106,Dataset!A:L,12,FALSE)</f>
        <v>1660.01</v>
      </c>
    </row>
    <row r="107" spans="1:6">
      <c r="A107" s="3">
        <v>1105</v>
      </c>
      <c r="B107" s="3" t="str">
        <f>VLOOKUP(A107,Dataset!A:L,2,FALSE)</f>
        <v>Willie Smith</v>
      </c>
      <c r="C107" s="3" t="str">
        <f>VLOOKUP(A107,Dataset!A:L,3,FALSE)</f>
        <v>Dresses</v>
      </c>
      <c r="D107" s="3" t="str">
        <f>VLOOKUP(A107,Dataset!A:L,4,FALSE)</f>
        <v>Maxi Dress</v>
      </c>
      <c r="E107" s="3">
        <f>VLOOKUP(A107,Dataset!A:L,8,FALSE)</f>
        <v>0</v>
      </c>
      <c r="F107" s="3">
        <f>VLOOKUP(A107,Dataset!A:L,12,FALSE)</f>
        <v>616.04</v>
      </c>
    </row>
    <row r="108" spans="1:6">
      <c r="A108" s="3">
        <v>1106</v>
      </c>
      <c r="B108" s="3" t="str">
        <f>VLOOKUP(A108,Dataset!A:L,2,FALSE)</f>
        <v>Evelyn Allison</v>
      </c>
      <c r="C108" s="3" t="str">
        <f>VLOOKUP(A108,Dataset!A:L,3,FALSE)</f>
        <v>Jeans</v>
      </c>
      <c r="D108" s="3" t="str">
        <f>VLOOKUP(A108,Dataset!A:L,4,FALSE)</f>
        <v>Boyfriend Jeans</v>
      </c>
      <c r="E108" s="3">
        <f>VLOOKUP(A108,Dataset!A:L,8,FALSE)</f>
        <v>0</v>
      </c>
      <c r="F108" s="3">
        <f>VLOOKUP(A108,Dataset!A:L,12,FALSE)</f>
        <v>53.28</v>
      </c>
    </row>
    <row r="109" spans="1:6">
      <c r="A109" s="3">
        <v>1107</v>
      </c>
      <c r="B109" s="3" t="str">
        <f>VLOOKUP(A109,Dataset!A:L,2,FALSE)</f>
        <v>Elizabeth Hood</v>
      </c>
      <c r="C109" s="3" t="str">
        <f>VLOOKUP(A109,Dataset!A:L,3,FALSE)</f>
        <v>Jeans</v>
      </c>
      <c r="D109" s="3" t="str">
        <f>VLOOKUP(A109,Dataset!A:L,4,FALSE)</f>
        <v>Straight Cut</v>
      </c>
      <c r="E109" s="3">
        <f>VLOOKUP(A109,Dataset!A:L,8,FALSE)</f>
        <v>0</v>
      </c>
      <c r="F109" s="3">
        <f>VLOOKUP(A109,Dataset!A:L,12,FALSE)</f>
        <v>1064.8599999999999</v>
      </c>
    </row>
    <row r="110" spans="1:6">
      <c r="A110" s="3">
        <v>1036</v>
      </c>
      <c r="B110" s="3" t="str">
        <f>VLOOKUP(A110,Dataset!A:L,2,FALSE)</f>
        <v>Connie Cunningham</v>
      </c>
      <c r="C110" s="3" t="str">
        <f>VLOOKUP(A110,Dataset!A:L,3,FALSE)</f>
        <v>T-Shirts</v>
      </c>
      <c r="D110" s="3" t="str">
        <f>VLOOKUP(A110,Dataset!A:L,4,FALSE)</f>
        <v>Graphic Tee</v>
      </c>
      <c r="E110" s="3">
        <f>VLOOKUP(A110,Dataset!A:L,8,FALSE)</f>
        <v>0</v>
      </c>
      <c r="F110" s="3">
        <f>VLOOKUP(A110,Dataset!A:L,12,FALSE)</f>
        <v>1213.95</v>
      </c>
    </row>
    <row r="111" spans="1:6">
      <c r="A111" s="3">
        <v>1109</v>
      </c>
      <c r="B111" s="3" t="str">
        <f>VLOOKUP(A111,Dataset!A:L,2,FALSE)</f>
        <v>Nicole Evans</v>
      </c>
      <c r="C111" s="3" t="str">
        <f>VLOOKUP(A111,Dataset!A:L,3,FALSE)</f>
        <v>Jeans</v>
      </c>
      <c r="D111" s="3" t="str">
        <f>VLOOKUP(A111,Dataset!A:L,4,FALSE)</f>
        <v>Ripped Denim</v>
      </c>
      <c r="E111" s="3">
        <f>VLOOKUP(A111,Dataset!A:L,8,FALSE)</f>
        <v>0</v>
      </c>
      <c r="F111" s="3">
        <f>VLOOKUP(A111,Dataset!A:L,12,FALSE)</f>
        <v>2133.58</v>
      </c>
    </row>
    <row r="112" spans="1:6">
      <c r="A112" s="3">
        <v>1110</v>
      </c>
      <c r="B112" s="3" t="str">
        <f>VLOOKUP(A112,Dataset!A:L,2,FALSE)</f>
        <v>Michael Velasquez</v>
      </c>
      <c r="C112" s="3" t="str">
        <f>VLOOKUP(A112,Dataset!A:L,3,FALSE)</f>
        <v>Jeans</v>
      </c>
      <c r="D112" s="3" t="str">
        <f>VLOOKUP(A112,Dataset!A:L,4,FALSE)</f>
        <v>Slim Fit Jeans</v>
      </c>
      <c r="E112" s="3">
        <f>VLOOKUP(A112,Dataset!A:L,8,FALSE)</f>
        <v>0</v>
      </c>
      <c r="F112" s="3">
        <f>VLOOKUP(A112,Dataset!A:L,12,FALSE)</f>
        <v>2155.6799999999998</v>
      </c>
    </row>
    <row r="113" spans="1:6">
      <c r="A113" s="3">
        <v>1111</v>
      </c>
      <c r="B113" s="3" t="str">
        <f>VLOOKUP(A113,Dataset!A:L,2,FALSE)</f>
        <v>Tammy Gonzales</v>
      </c>
      <c r="C113" s="3" t="str">
        <f>VLOOKUP(A113,Dataset!A:L,3,FALSE)</f>
        <v>T-Shirts</v>
      </c>
      <c r="D113" s="3" t="str">
        <f>VLOOKUP(A113,Dataset!A:L,4,FALSE)</f>
        <v>Classic Tee</v>
      </c>
      <c r="E113" s="3">
        <f>VLOOKUP(A113,Dataset!A:L,8,FALSE)</f>
        <v>0</v>
      </c>
      <c r="F113" s="3">
        <f>VLOOKUP(A113,Dataset!A:L,12,FALSE)</f>
        <v>748.93</v>
      </c>
    </row>
    <row r="114" spans="1:6">
      <c r="A114" s="3">
        <v>1112</v>
      </c>
      <c r="B114" s="3" t="str">
        <f>VLOOKUP(A114,Dataset!A:L,2,FALSE)</f>
        <v>Sherry Shepard</v>
      </c>
      <c r="C114" s="3" t="str">
        <f>VLOOKUP(A114,Dataset!A:L,3,FALSE)</f>
        <v>Dresses</v>
      </c>
      <c r="D114" s="3" t="str">
        <f>VLOOKUP(A114,Dataset!A:L,4,FALSE)</f>
        <v>Casual Midi</v>
      </c>
      <c r="E114" s="3">
        <f>VLOOKUP(A114,Dataset!A:L,8,FALSE)</f>
        <v>0</v>
      </c>
      <c r="F114" s="3">
        <f>VLOOKUP(A114,Dataset!A:L,12,FALSE)</f>
        <v>1160.17</v>
      </c>
    </row>
    <row r="115" spans="1:6">
      <c r="A115" s="3">
        <v>1113</v>
      </c>
      <c r="B115" s="3" t="str">
        <f>VLOOKUP(A115,Dataset!A:L,2,FALSE)</f>
        <v>Derek Edwards</v>
      </c>
      <c r="C115" s="3" t="str">
        <f>VLOOKUP(A115,Dataset!A:L,3,FALSE)</f>
        <v>Jackets</v>
      </c>
      <c r="D115" s="3" t="str">
        <f>VLOOKUP(A115,Dataset!A:L,4,FALSE)</f>
        <v>Puffer Coat</v>
      </c>
      <c r="E115" s="3">
        <f>VLOOKUP(A115,Dataset!A:L,8,FALSE)</f>
        <v>0</v>
      </c>
      <c r="F115" s="3">
        <f>VLOOKUP(A115,Dataset!A:L,12,FALSE)</f>
        <v>-763.23</v>
      </c>
    </row>
    <row r="116" spans="1:6">
      <c r="A116" s="3">
        <v>1114</v>
      </c>
      <c r="B116" s="3" t="str">
        <f>VLOOKUP(A116,Dataset!A:L,2,FALSE)</f>
        <v>Robert Williams</v>
      </c>
      <c r="C116" s="3" t="str">
        <f>VLOOKUP(A116,Dataset!A:L,3,FALSE)</f>
        <v>Dresses</v>
      </c>
      <c r="D116" s="3" t="str">
        <f>VLOOKUP(A116,Dataset!A:L,4,FALSE)</f>
        <v>Bodycon</v>
      </c>
      <c r="E116" s="3">
        <f>VLOOKUP(A116,Dataset!A:L,8,FALSE)</f>
        <v>2729.33</v>
      </c>
      <c r="F116" s="3">
        <f>VLOOKUP(A116,Dataset!A:L,12,FALSE)</f>
        <v>-689.16</v>
      </c>
    </row>
    <row r="117" spans="1:6">
      <c r="A117" s="3">
        <v>1115</v>
      </c>
      <c r="B117" s="3" t="str">
        <f>VLOOKUP(A117,Dataset!A:L,2,FALSE)</f>
        <v>Carolyn Nelson</v>
      </c>
      <c r="C117" s="3" t="str">
        <f>VLOOKUP(A117,Dataset!A:L,3,FALSE)</f>
        <v>Accessories</v>
      </c>
      <c r="D117" s="3" t="str">
        <f>VLOOKUP(A117,Dataset!A:L,4,FALSE)</f>
        <v>Belts</v>
      </c>
      <c r="E117" s="3">
        <f>VLOOKUP(A117,Dataset!A:L,8,FALSE)</f>
        <v>0</v>
      </c>
      <c r="F117" s="3">
        <f>VLOOKUP(A117,Dataset!A:L,12,FALSE)</f>
        <v>-624.26</v>
      </c>
    </row>
    <row r="118" spans="1:6">
      <c r="A118" s="3">
        <v>1116</v>
      </c>
      <c r="B118" s="3" t="str">
        <f>VLOOKUP(A118,Dataset!A:L,2,FALSE)</f>
        <v>Olivia Jones</v>
      </c>
      <c r="C118" s="3" t="str">
        <f>VLOOKUP(A118,Dataset!A:L,3,FALSE)</f>
        <v>Jackets</v>
      </c>
      <c r="D118" s="3" t="str">
        <f>VLOOKUP(A118,Dataset!A:L,4,FALSE)</f>
        <v>Bomber Jacket</v>
      </c>
      <c r="E118" s="3">
        <f>VLOOKUP(A118,Dataset!A:L,8,FALSE)</f>
        <v>0</v>
      </c>
      <c r="F118" s="3">
        <f>VLOOKUP(A118,Dataset!A:L,12,FALSE)</f>
        <v>1733.04</v>
      </c>
    </row>
    <row r="119" spans="1:6">
      <c r="A119" s="3">
        <v>1117</v>
      </c>
      <c r="B119" s="3" t="str">
        <f>VLOOKUP(A119,Dataset!A:L,2,FALSE)</f>
        <v>Molly Johnson</v>
      </c>
      <c r="C119" s="3" t="str">
        <f>VLOOKUP(A119,Dataset!A:L,3,FALSE)</f>
        <v>Jackets</v>
      </c>
      <c r="D119" s="3" t="str">
        <f>VLOOKUP(A119,Dataset!A:L,4,FALSE)</f>
        <v>Puffer Coat</v>
      </c>
      <c r="E119" s="3">
        <f>VLOOKUP(A119,Dataset!A:L,8,FALSE)</f>
        <v>0</v>
      </c>
      <c r="F119" s="3">
        <f>VLOOKUP(A119,Dataset!A:L,12,FALSE)</f>
        <v>-455.6</v>
      </c>
    </row>
    <row r="120" spans="1:6">
      <c r="A120" s="3">
        <v>1118</v>
      </c>
      <c r="B120" s="3" t="str">
        <f>VLOOKUP(A120,Dataset!A:L,2,FALSE)</f>
        <v>Jose Jackson</v>
      </c>
      <c r="C120" s="3" t="str">
        <f>VLOOKUP(A120,Dataset!A:L,3,FALSE)</f>
        <v>Accessories</v>
      </c>
      <c r="D120" s="3" t="str">
        <f>VLOOKUP(A120,Dataset!A:L,4,FALSE)</f>
        <v>Belts</v>
      </c>
      <c r="E120" s="3">
        <f>VLOOKUP(A120,Dataset!A:L,8,FALSE)</f>
        <v>0</v>
      </c>
      <c r="F120" s="3">
        <f>VLOOKUP(A120,Dataset!A:L,12,FALSE)</f>
        <v>1039.53</v>
      </c>
    </row>
    <row r="121" spans="1:6">
      <c r="A121" s="3">
        <v>1119</v>
      </c>
      <c r="B121" s="3" t="str">
        <f>VLOOKUP(A121,Dataset!A:L,2,FALSE)</f>
        <v>Elizabeth Vega</v>
      </c>
      <c r="C121" s="3" t="str">
        <f>VLOOKUP(A121,Dataset!A:L,3,FALSE)</f>
        <v>Jeans</v>
      </c>
      <c r="D121" s="3" t="str">
        <f>VLOOKUP(A121,Dataset!A:L,4,FALSE)</f>
        <v>Ripped Denim</v>
      </c>
      <c r="E121" s="3">
        <f>VLOOKUP(A121,Dataset!A:L,8,FALSE)</f>
        <v>0</v>
      </c>
      <c r="F121" s="3">
        <f>VLOOKUP(A121,Dataset!A:L,12,FALSE)</f>
        <v>142.69</v>
      </c>
    </row>
    <row r="122" spans="1:6">
      <c r="A122" s="3">
        <v>1120</v>
      </c>
      <c r="B122" s="3" t="str">
        <f>VLOOKUP(A122,Dataset!A:L,2,FALSE)</f>
        <v>Angelica Gonzalez</v>
      </c>
      <c r="C122" s="3" t="str">
        <f>VLOOKUP(A122,Dataset!A:L,3,FALSE)</f>
        <v>Jackets</v>
      </c>
      <c r="D122" s="3" t="str">
        <f>VLOOKUP(A122,Dataset!A:L,4,FALSE)</f>
        <v>Puffer Coat</v>
      </c>
      <c r="E122" s="3">
        <f>VLOOKUP(A122,Dataset!A:L,8,FALSE)</f>
        <v>0</v>
      </c>
      <c r="F122" s="3">
        <f>VLOOKUP(A122,Dataset!A:L,12,FALSE)</f>
        <v>828.98</v>
      </c>
    </row>
    <row r="123" spans="1:6">
      <c r="A123" s="3">
        <v>1121</v>
      </c>
      <c r="B123" s="3" t="str">
        <f>VLOOKUP(A123,Dataset!A:L,2,FALSE)</f>
        <v>Henry Parker</v>
      </c>
      <c r="C123" s="3" t="str">
        <f>VLOOKUP(A123,Dataset!A:L,3,FALSE)</f>
        <v>Shoes</v>
      </c>
      <c r="D123" s="3" t="str">
        <f>VLOOKUP(A123,Dataset!A:L,4,FALSE)</f>
        <v>Boots</v>
      </c>
      <c r="E123" s="3">
        <f>VLOOKUP(A123,Dataset!A:L,8,FALSE)</f>
        <v>0</v>
      </c>
      <c r="F123" s="3">
        <f>VLOOKUP(A123,Dataset!A:L,12,FALSE)</f>
        <v>1422.36</v>
      </c>
    </row>
    <row r="124" spans="1:6">
      <c r="A124" s="3">
        <v>1122</v>
      </c>
      <c r="B124" s="3" t="str">
        <f>VLOOKUP(A124,Dataset!A:L,2,FALSE)</f>
        <v>Jennifer Lee</v>
      </c>
      <c r="C124" s="3" t="str">
        <f>VLOOKUP(A124,Dataset!A:L,3,FALSE)</f>
        <v>Jackets</v>
      </c>
      <c r="D124" s="3" t="str">
        <f>VLOOKUP(A124,Dataset!A:L,4,FALSE)</f>
        <v>Bomber Jacket</v>
      </c>
      <c r="E124" s="3">
        <f>VLOOKUP(A124,Dataset!A:L,8,FALSE)</f>
        <v>0</v>
      </c>
      <c r="F124" s="3">
        <f>VLOOKUP(A124,Dataset!A:L,12,FALSE)</f>
        <v>2658.02</v>
      </c>
    </row>
    <row r="125" spans="1:6">
      <c r="A125" s="3">
        <v>1123</v>
      </c>
      <c r="B125" s="3" t="str">
        <f>VLOOKUP(A125,Dataset!A:L,2,FALSE)</f>
        <v>Michael Clarke</v>
      </c>
      <c r="C125" s="3" t="str">
        <f>VLOOKUP(A125,Dataset!A:L,3,FALSE)</f>
        <v>Accessories</v>
      </c>
      <c r="D125" s="3" t="str">
        <f>VLOOKUP(A125,Dataset!A:L,4,FALSE)</f>
        <v>Caps</v>
      </c>
      <c r="E125" s="3">
        <f>VLOOKUP(A125,Dataset!A:L,8,FALSE)</f>
        <v>0</v>
      </c>
      <c r="F125" s="3">
        <f>VLOOKUP(A125,Dataset!A:L,12,FALSE)</f>
        <v>1494.78</v>
      </c>
    </row>
    <row r="126" spans="1:6">
      <c r="A126" s="3">
        <v>1002</v>
      </c>
      <c r="B126" s="3" t="str">
        <f>VLOOKUP(A126,Dataset!A:L,2,FALSE)</f>
        <v>Sarah Snyder</v>
      </c>
      <c r="C126" s="3" t="str">
        <f>VLOOKUP(A126,Dataset!A:L,3,FALSE)</f>
        <v>Jackets</v>
      </c>
      <c r="D126" s="3" t="str">
        <f>VLOOKUP(A126,Dataset!A:L,4,FALSE)</f>
        <v>Puffer Coat</v>
      </c>
      <c r="E126" s="3">
        <f>VLOOKUP(A126,Dataset!A:L,8,FALSE)</f>
        <v>0</v>
      </c>
      <c r="F126" s="3">
        <f>VLOOKUP(A126,Dataset!A:L,12,FALSE)</f>
        <v>-158.03</v>
      </c>
    </row>
    <row r="127" spans="1:6">
      <c r="A127" s="3">
        <v>1125</v>
      </c>
      <c r="B127" s="3" t="str">
        <f>VLOOKUP(A127,Dataset!A:L,2,FALSE)</f>
        <v>Jason Turner</v>
      </c>
      <c r="C127" s="3" t="str">
        <f>VLOOKUP(A127,Dataset!A:L,3,FALSE)</f>
        <v>Shoes</v>
      </c>
      <c r="D127" s="3" t="str">
        <f>VLOOKUP(A127,Dataset!A:L,4,FALSE)</f>
        <v>Boots</v>
      </c>
      <c r="E127" s="3">
        <f>VLOOKUP(A127,Dataset!A:L,8,FALSE)</f>
        <v>0</v>
      </c>
      <c r="F127" s="3">
        <f>VLOOKUP(A127,Dataset!A:L,12,FALSE)</f>
        <v>-754.58</v>
      </c>
    </row>
    <row r="128" spans="1:6">
      <c r="A128" s="3">
        <v>1126</v>
      </c>
      <c r="B128" s="3" t="str">
        <f>VLOOKUP(A128,Dataset!A:L,2,FALSE)</f>
        <v>Grant Munoz</v>
      </c>
      <c r="C128" s="3" t="str">
        <f>VLOOKUP(A128,Dataset!A:L,3,FALSE)</f>
        <v>Jeans</v>
      </c>
      <c r="D128" s="3" t="str">
        <f>VLOOKUP(A128,Dataset!A:L,4,FALSE)</f>
        <v>Boyfriend Jeans</v>
      </c>
      <c r="E128" s="3">
        <f>VLOOKUP(A128,Dataset!A:L,8,FALSE)</f>
        <v>0</v>
      </c>
      <c r="F128" s="3">
        <f>VLOOKUP(A128,Dataset!A:L,12,FALSE)</f>
        <v>1820.2</v>
      </c>
    </row>
    <row r="129" spans="1:6">
      <c r="A129" s="3">
        <v>1127</v>
      </c>
      <c r="B129" s="3" t="str">
        <f>VLOOKUP(A129,Dataset!A:L,2,FALSE)</f>
        <v>Rhonda Ray</v>
      </c>
      <c r="C129" s="3" t="str">
        <f>VLOOKUP(A129,Dataset!A:L,3,FALSE)</f>
        <v>Dresses</v>
      </c>
      <c r="D129" s="3" t="str">
        <f>VLOOKUP(A129,Dataset!A:L,4,FALSE)</f>
        <v>Bodycon</v>
      </c>
      <c r="E129" s="3">
        <f>VLOOKUP(A129,Dataset!A:L,8,FALSE)</f>
        <v>13513.2</v>
      </c>
      <c r="F129" s="3">
        <f>VLOOKUP(A129,Dataset!A:L,12,FALSE)</f>
        <v>2881.91</v>
      </c>
    </row>
    <row r="130" spans="1:6">
      <c r="A130" s="3">
        <v>1128</v>
      </c>
      <c r="B130" s="3" t="str">
        <f>VLOOKUP(A130,Dataset!A:L,2,FALSE)</f>
        <v>Susan Anderson</v>
      </c>
      <c r="C130" s="3" t="str">
        <f>VLOOKUP(A130,Dataset!A:L,3,FALSE)</f>
        <v>T-Shirts</v>
      </c>
      <c r="D130" s="3" t="str">
        <f>VLOOKUP(A130,Dataset!A:L,4,FALSE)</f>
        <v>Oversized T-shirt</v>
      </c>
      <c r="E130" s="3">
        <f>VLOOKUP(A130,Dataset!A:L,8,FALSE)</f>
        <v>0</v>
      </c>
      <c r="F130" s="3">
        <f>VLOOKUP(A130,Dataset!A:L,12,FALSE)</f>
        <v>-68.489999999999995</v>
      </c>
    </row>
    <row r="131" spans="1:6">
      <c r="A131" s="3">
        <v>1129</v>
      </c>
      <c r="B131" s="3" t="str">
        <f>VLOOKUP(A131,Dataset!A:L,2,FALSE)</f>
        <v>Miranda Thomas</v>
      </c>
      <c r="C131" s="3" t="str">
        <f>VLOOKUP(A131,Dataset!A:L,3,FALSE)</f>
        <v>Jeans</v>
      </c>
      <c r="D131" s="3" t="str">
        <f>VLOOKUP(A131,Dataset!A:L,4,FALSE)</f>
        <v>Boyfriend Jeans</v>
      </c>
      <c r="E131" s="3">
        <f>VLOOKUP(A131,Dataset!A:L,8,FALSE)</f>
        <v>-3715.03</v>
      </c>
      <c r="F131" s="3">
        <f>VLOOKUP(A131,Dataset!A:L,12,FALSE)</f>
        <v>-668.36</v>
      </c>
    </row>
    <row r="132" spans="1:6">
      <c r="A132" s="3">
        <v>1130</v>
      </c>
      <c r="B132" s="3" t="str">
        <f>VLOOKUP(A132,Dataset!A:L,2,FALSE)</f>
        <v>Samuel Miller</v>
      </c>
      <c r="C132" s="3" t="str">
        <f>VLOOKUP(A132,Dataset!A:L,3,FALSE)</f>
        <v>Accessories</v>
      </c>
      <c r="D132" s="3" t="str">
        <f>VLOOKUP(A132,Dataset!A:L,4,FALSE)</f>
        <v>Sunglasses</v>
      </c>
      <c r="E132" s="3">
        <f>VLOOKUP(A132,Dataset!A:L,8,FALSE)</f>
        <v>0</v>
      </c>
      <c r="F132" s="3">
        <f>VLOOKUP(A132,Dataset!A:L,12,FALSE)</f>
        <v>2782.45</v>
      </c>
    </row>
    <row r="133" spans="1:6">
      <c r="A133" s="3">
        <v>1131</v>
      </c>
      <c r="B133" s="3" t="str">
        <f>VLOOKUP(A133,Dataset!A:L,2,FALSE)</f>
        <v>Grace Chavez</v>
      </c>
      <c r="C133" s="3" t="str">
        <f>VLOOKUP(A133,Dataset!A:L,3,FALSE)</f>
        <v>T-Shirts</v>
      </c>
      <c r="D133" s="3" t="str">
        <f>VLOOKUP(A133,Dataset!A:L,4,FALSE)</f>
        <v>Classic Tee</v>
      </c>
      <c r="E133" s="3">
        <f>VLOOKUP(A133,Dataset!A:L,8,FALSE)</f>
        <v>0</v>
      </c>
      <c r="F133" s="3">
        <f>VLOOKUP(A133,Dataset!A:L,12,FALSE)</f>
        <v>-941.56</v>
      </c>
    </row>
    <row r="134" spans="1:6">
      <c r="A134" s="3">
        <v>1132</v>
      </c>
      <c r="B134" s="3" t="str">
        <f>VLOOKUP(A134,Dataset!A:L,2,FALSE)</f>
        <v>Andrew Carlson</v>
      </c>
      <c r="C134" s="3" t="str">
        <f>VLOOKUP(A134,Dataset!A:L,3,FALSE)</f>
        <v>Jackets</v>
      </c>
      <c r="D134" s="3" t="str">
        <f>VLOOKUP(A134,Dataset!A:L,4,FALSE)</f>
        <v>Bomber Jacket</v>
      </c>
      <c r="E134" s="3">
        <f>VLOOKUP(A134,Dataset!A:L,8,FALSE)</f>
        <v>0</v>
      </c>
      <c r="F134" s="3">
        <f>VLOOKUP(A134,Dataset!A:L,12,FALSE)</f>
        <v>2043.57</v>
      </c>
    </row>
    <row r="135" spans="1:6">
      <c r="A135" s="3">
        <v>1133</v>
      </c>
      <c r="B135" s="3" t="str">
        <f>VLOOKUP(A135,Dataset!A:L,2,FALSE)</f>
        <v>Erin Williams</v>
      </c>
      <c r="C135" s="3" t="str">
        <f>VLOOKUP(A135,Dataset!A:L,3,FALSE)</f>
        <v>Dresses</v>
      </c>
      <c r="D135" s="3" t="str">
        <f>VLOOKUP(A135,Dataset!A:L,4,FALSE)</f>
        <v>Casual Midi</v>
      </c>
      <c r="E135" s="3">
        <f>VLOOKUP(A135,Dataset!A:L,8,FALSE)</f>
        <v>0</v>
      </c>
      <c r="F135" s="3">
        <f>VLOOKUP(A135,Dataset!A:L,12,FALSE)</f>
        <v>806.19</v>
      </c>
    </row>
    <row r="136" spans="1:6">
      <c r="A136" s="3">
        <v>1134</v>
      </c>
      <c r="B136" s="3" t="str">
        <f>VLOOKUP(A136,Dataset!A:L,2,FALSE)</f>
        <v>Melissa Jenkins</v>
      </c>
      <c r="C136" s="3" t="str">
        <f>VLOOKUP(A136,Dataset!A:L,3,FALSE)</f>
        <v>Dresses</v>
      </c>
      <c r="D136" s="3" t="str">
        <f>VLOOKUP(A136,Dataset!A:L,4,FALSE)</f>
        <v>Wrap Dress</v>
      </c>
      <c r="E136" s="3">
        <f>VLOOKUP(A136,Dataset!A:L,8,FALSE)</f>
        <v>0</v>
      </c>
      <c r="F136" s="3">
        <f>VLOOKUP(A136,Dataset!A:L,12,FALSE)</f>
        <v>1101.19</v>
      </c>
    </row>
    <row r="137" spans="1:6">
      <c r="A137" s="3">
        <v>1135</v>
      </c>
      <c r="B137" s="3" t="str">
        <f>VLOOKUP(A137,Dataset!A:L,2,FALSE)</f>
        <v>Ronald Ballard</v>
      </c>
      <c r="C137" s="3" t="str">
        <f>VLOOKUP(A137,Dataset!A:L,3,FALSE)</f>
        <v>Shoes</v>
      </c>
      <c r="D137" s="3" t="str">
        <f>VLOOKUP(A137,Dataset!A:L,4,FALSE)</f>
        <v>Sneakers</v>
      </c>
      <c r="E137" s="3">
        <f>VLOOKUP(A137,Dataset!A:L,8,FALSE)</f>
        <v>996.45</v>
      </c>
      <c r="F137" s="3">
        <f>VLOOKUP(A137,Dataset!A:L,12,FALSE)</f>
        <v>1432.84</v>
      </c>
    </row>
    <row r="138" spans="1:6">
      <c r="A138" s="3">
        <v>1136</v>
      </c>
      <c r="B138" s="3" t="str">
        <f>VLOOKUP(A138,Dataset!A:L,2,FALSE)</f>
        <v>Danielle Johnson</v>
      </c>
      <c r="C138" s="3" t="str">
        <f>VLOOKUP(A138,Dataset!A:L,3,FALSE)</f>
        <v>Jeans</v>
      </c>
      <c r="D138" s="3" t="str">
        <f>VLOOKUP(A138,Dataset!A:L,4,FALSE)</f>
        <v>Straight Cut</v>
      </c>
      <c r="E138" s="3">
        <f>VLOOKUP(A138,Dataset!A:L,8,FALSE)</f>
        <v>0</v>
      </c>
      <c r="F138" s="3">
        <f>VLOOKUP(A138,Dataset!A:L,12,FALSE)</f>
        <v>1897.33</v>
      </c>
    </row>
    <row r="139" spans="1:6">
      <c r="A139" s="3">
        <v>1137</v>
      </c>
      <c r="B139" s="3" t="str">
        <f>VLOOKUP(A139,Dataset!A:L,2,FALSE)</f>
        <v>Jason Moore</v>
      </c>
      <c r="C139" s="3" t="str">
        <f>VLOOKUP(A139,Dataset!A:L,3,FALSE)</f>
        <v>Shoes</v>
      </c>
      <c r="D139" s="3" t="str">
        <f>VLOOKUP(A139,Dataset!A:L,4,FALSE)</f>
        <v>Sneakers</v>
      </c>
      <c r="E139" s="3">
        <f>VLOOKUP(A139,Dataset!A:L,8,FALSE)</f>
        <v>0</v>
      </c>
      <c r="F139" s="3">
        <f>VLOOKUP(A139,Dataset!A:L,12,FALSE)</f>
        <v>1161.76</v>
      </c>
    </row>
    <row r="140" spans="1:6">
      <c r="A140" s="3">
        <v>1138</v>
      </c>
      <c r="B140" s="3" t="str">
        <f>VLOOKUP(A140,Dataset!A:L,2,FALSE)</f>
        <v>Thomas Freeman</v>
      </c>
      <c r="C140" s="3" t="str">
        <f>VLOOKUP(A140,Dataset!A:L,3,FALSE)</f>
        <v>Dresses</v>
      </c>
      <c r="D140" s="3" t="str">
        <f>VLOOKUP(A140,Dataset!A:L,4,FALSE)</f>
        <v>Bodycon</v>
      </c>
      <c r="E140" s="3">
        <f>VLOOKUP(A140,Dataset!A:L,8,FALSE)</f>
        <v>0</v>
      </c>
      <c r="F140" s="3">
        <f>VLOOKUP(A140,Dataset!A:L,12,FALSE)</f>
        <v>-658.58</v>
      </c>
    </row>
    <row r="141" spans="1:6">
      <c r="A141" s="3">
        <v>1139</v>
      </c>
      <c r="B141" s="3" t="str">
        <f>VLOOKUP(A141,Dataset!A:L,2,FALSE)</f>
        <v>Katherine Reyes</v>
      </c>
      <c r="C141" s="3" t="str">
        <f>VLOOKUP(A141,Dataset!A:L,3,FALSE)</f>
        <v>T-Shirts</v>
      </c>
      <c r="D141" s="3" t="str">
        <f>VLOOKUP(A141,Dataset!A:L,4,FALSE)</f>
        <v>Graphic Tee</v>
      </c>
      <c r="E141" s="3">
        <f>VLOOKUP(A141,Dataset!A:L,8,FALSE)</f>
        <v>0</v>
      </c>
      <c r="F141" s="3">
        <f>VLOOKUP(A141,Dataset!A:L,12,FALSE)</f>
        <v>-832.45</v>
      </c>
    </row>
    <row r="142" spans="1:6">
      <c r="A142" s="3">
        <v>1140</v>
      </c>
      <c r="B142" s="3" t="str">
        <f>VLOOKUP(A142,Dataset!A:L,2,FALSE)</f>
        <v>Dawn Smith</v>
      </c>
      <c r="C142" s="3" t="str">
        <f>VLOOKUP(A142,Dataset!A:L,3,FALSE)</f>
        <v>Accessories</v>
      </c>
      <c r="D142" s="3" t="str">
        <f>VLOOKUP(A142,Dataset!A:L,4,FALSE)</f>
        <v>Belts</v>
      </c>
      <c r="E142" s="3">
        <f>VLOOKUP(A142,Dataset!A:L,8,FALSE)</f>
        <v>0</v>
      </c>
      <c r="F142" s="3">
        <f>VLOOKUP(A142,Dataset!A:L,12,FALSE)</f>
        <v>-127.91</v>
      </c>
    </row>
    <row r="143" spans="1:6">
      <c r="A143" s="3">
        <v>1141</v>
      </c>
      <c r="B143" s="3" t="str">
        <f>VLOOKUP(A143,Dataset!A:L,2,FALSE)</f>
        <v>Sarah Pacheco</v>
      </c>
      <c r="C143" s="3" t="str">
        <f>VLOOKUP(A143,Dataset!A:L,3,FALSE)</f>
        <v>T-Shirts</v>
      </c>
      <c r="D143" s="3" t="str">
        <f>VLOOKUP(A143,Dataset!A:L,4,FALSE)</f>
        <v>Graphic Tee</v>
      </c>
      <c r="E143" s="3">
        <f>VLOOKUP(A143,Dataset!A:L,8,FALSE)</f>
        <v>0</v>
      </c>
      <c r="F143" s="3">
        <f>VLOOKUP(A143,Dataset!A:L,12,FALSE)</f>
        <v>429.67</v>
      </c>
    </row>
    <row r="144" spans="1:6">
      <c r="A144" s="3">
        <v>1142</v>
      </c>
      <c r="B144" s="3" t="str">
        <f>VLOOKUP(A144,Dataset!A:L,2,FALSE)</f>
        <v>Daniel Alvarez</v>
      </c>
      <c r="C144" s="3" t="str">
        <f>VLOOKUP(A144,Dataset!A:L,3,FALSE)</f>
        <v>Dresses</v>
      </c>
      <c r="D144" s="3" t="str">
        <f>VLOOKUP(A144,Dataset!A:L,4,FALSE)</f>
        <v>Bodycon</v>
      </c>
      <c r="E144" s="3">
        <f>VLOOKUP(A144,Dataset!A:L,8,FALSE)</f>
        <v>0</v>
      </c>
      <c r="F144" s="3">
        <f>VLOOKUP(A144,Dataset!A:L,12,FALSE)</f>
        <v>-509.67</v>
      </c>
    </row>
    <row r="145" spans="1:6">
      <c r="A145" s="3">
        <v>1143</v>
      </c>
      <c r="B145" s="3" t="str">
        <f>VLOOKUP(A145,Dataset!A:L,2,FALSE)</f>
        <v>Bernard Ramirez</v>
      </c>
      <c r="C145" s="3" t="str">
        <f>VLOOKUP(A145,Dataset!A:L,3,FALSE)</f>
        <v>Jackets</v>
      </c>
      <c r="D145" s="3" t="str">
        <f>VLOOKUP(A145,Dataset!A:L,4,FALSE)</f>
        <v>Denim Jacket</v>
      </c>
      <c r="E145" s="3">
        <f>VLOOKUP(A145,Dataset!A:L,8,FALSE)</f>
        <v>0</v>
      </c>
      <c r="F145" s="3">
        <f>VLOOKUP(A145,Dataset!A:L,12,FALSE)</f>
        <v>816.49</v>
      </c>
    </row>
    <row r="146" spans="1:6">
      <c r="A146" s="3">
        <v>1144</v>
      </c>
      <c r="B146" s="3" t="str">
        <f>VLOOKUP(A146,Dataset!A:L,2,FALSE)</f>
        <v>Mrs. Julia Ramirez</v>
      </c>
      <c r="C146" s="3" t="str">
        <f>VLOOKUP(A146,Dataset!A:L,3,FALSE)</f>
        <v>Jeans</v>
      </c>
      <c r="D146" s="3" t="str">
        <f>VLOOKUP(A146,Dataset!A:L,4,FALSE)</f>
        <v>Slim Fit Jeans</v>
      </c>
      <c r="E146" s="3">
        <f>VLOOKUP(A146,Dataset!A:L,8,FALSE)</f>
        <v>0</v>
      </c>
      <c r="F146" s="3">
        <f>VLOOKUP(A146,Dataset!A:L,12,FALSE)</f>
        <v>2966.21</v>
      </c>
    </row>
    <row r="147" spans="1:6">
      <c r="A147" s="3">
        <v>1145</v>
      </c>
      <c r="B147" s="3" t="str">
        <f>VLOOKUP(A147,Dataset!A:L,2,FALSE)</f>
        <v>Jorge Anderson</v>
      </c>
      <c r="C147" s="3" t="str">
        <f>VLOOKUP(A147,Dataset!A:L,3,FALSE)</f>
        <v>T-Shirts</v>
      </c>
      <c r="D147" s="3" t="str">
        <f>VLOOKUP(A147,Dataset!A:L,4,FALSE)</f>
        <v>Graphic Tee</v>
      </c>
      <c r="E147" s="3">
        <f>VLOOKUP(A147,Dataset!A:L,8,FALSE)</f>
        <v>-432.95</v>
      </c>
      <c r="F147" s="3">
        <f>VLOOKUP(A147,Dataset!A:L,12,FALSE)</f>
        <v>-171.58</v>
      </c>
    </row>
    <row r="148" spans="1:6">
      <c r="A148" s="3">
        <v>1146</v>
      </c>
      <c r="B148" s="3" t="str">
        <f>VLOOKUP(A148,Dataset!A:L,2,FALSE)</f>
        <v>Jacqueline Jenkins</v>
      </c>
      <c r="C148" s="3" t="str">
        <f>VLOOKUP(A148,Dataset!A:L,3,FALSE)</f>
        <v>Accessories</v>
      </c>
      <c r="D148" s="3" t="str">
        <f>VLOOKUP(A148,Dataset!A:L,4,FALSE)</f>
        <v>Belts</v>
      </c>
      <c r="E148" s="3">
        <f>VLOOKUP(A148,Dataset!A:L,8,FALSE)</f>
        <v>0</v>
      </c>
      <c r="F148" s="3">
        <f>VLOOKUP(A148,Dataset!A:L,12,FALSE)</f>
        <v>-431.7</v>
      </c>
    </row>
    <row r="149" spans="1:6">
      <c r="A149" s="3">
        <v>1147</v>
      </c>
      <c r="B149" s="3" t="str">
        <f>VLOOKUP(A149,Dataset!A:L,2,FALSE)</f>
        <v>Tracy Miller</v>
      </c>
      <c r="C149" s="3" t="str">
        <f>VLOOKUP(A149,Dataset!A:L,3,FALSE)</f>
        <v>Dresses</v>
      </c>
      <c r="D149" s="3" t="str">
        <f>VLOOKUP(A149,Dataset!A:L,4,FALSE)</f>
        <v>Casual Midi</v>
      </c>
      <c r="E149" s="3">
        <f>VLOOKUP(A149,Dataset!A:L,8,FALSE)</f>
        <v>0</v>
      </c>
      <c r="F149" s="3">
        <f>VLOOKUP(A149,Dataset!A:L,12,FALSE)</f>
        <v>-794.99</v>
      </c>
    </row>
    <row r="150" spans="1:6">
      <c r="A150" s="3">
        <v>1148</v>
      </c>
      <c r="B150" s="3" t="str">
        <f>VLOOKUP(A150,Dataset!A:L,2,FALSE)</f>
        <v>Travis Lopez</v>
      </c>
      <c r="C150" s="3" t="str">
        <f>VLOOKUP(A150,Dataset!A:L,3,FALSE)</f>
        <v>Accessories</v>
      </c>
      <c r="D150" s="3" t="str">
        <f>VLOOKUP(A150,Dataset!A:L,4,FALSE)</f>
        <v>Belts</v>
      </c>
      <c r="E150" s="3">
        <f>VLOOKUP(A150,Dataset!A:L,8,FALSE)</f>
        <v>0</v>
      </c>
      <c r="F150" s="3">
        <f>VLOOKUP(A150,Dataset!A:L,12,FALSE)</f>
        <v>2247.9</v>
      </c>
    </row>
    <row r="151" spans="1:6">
      <c r="A151" s="3">
        <v>1149</v>
      </c>
      <c r="B151" s="3" t="str">
        <f>VLOOKUP(A151,Dataset!A:L,2,FALSE)</f>
        <v>Steven Ortiz</v>
      </c>
      <c r="C151" s="3" t="str">
        <f>VLOOKUP(A151,Dataset!A:L,3,FALSE)</f>
        <v>Dresses</v>
      </c>
      <c r="D151" s="3" t="str">
        <f>VLOOKUP(A151,Dataset!A:L,4,FALSE)</f>
        <v>Bodycon</v>
      </c>
      <c r="E151" s="3">
        <f>VLOOKUP(A151,Dataset!A:L,8,FALSE)</f>
        <v>0</v>
      </c>
      <c r="F151" s="3">
        <f>VLOOKUP(A151,Dataset!A:L,12,FALSE)</f>
        <v>562.69000000000005</v>
      </c>
    </row>
    <row r="152" spans="1:6">
      <c r="A152" s="3">
        <v>1150</v>
      </c>
      <c r="B152" s="3" t="str">
        <f>VLOOKUP(A152,Dataset!A:L,2,FALSE)</f>
        <v>Brittany Robinson</v>
      </c>
      <c r="C152" s="3" t="str">
        <f>VLOOKUP(A152,Dataset!A:L,3,FALSE)</f>
        <v>Accessories</v>
      </c>
      <c r="D152" s="3" t="str">
        <f>VLOOKUP(A152,Dataset!A:L,4,FALSE)</f>
        <v>Sunglasses</v>
      </c>
      <c r="E152" s="3">
        <f>VLOOKUP(A152,Dataset!A:L,8,FALSE)</f>
        <v>0</v>
      </c>
      <c r="F152" s="3">
        <f>VLOOKUP(A152,Dataset!A:L,12,FALSE)</f>
        <v>457.65</v>
      </c>
    </row>
    <row r="153" spans="1:6">
      <c r="A153" s="3">
        <v>1151</v>
      </c>
      <c r="B153" s="3" t="str">
        <f>VLOOKUP(A153,Dataset!A:L,2,FALSE)</f>
        <v>Joseph Allen</v>
      </c>
      <c r="C153" s="3" t="str">
        <f>VLOOKUP(A153,Dataset!A:L,3,FALSE)</f>
        <v>Jeans</v>
      </c>
      <c r="D153" s="3" t="str">
        <f>VLOOKUP(A153,Dataset!A:L,4,FALSE)</f>
        <v>Straight Cut</v>
      </c>
      <c r="E153" s="3">
        <f>VLOOKUP(A153,Dataset!A:L,8,FALSE)</f>
        <v>6074.06</v>
      </c>
      <c r="F153" s="3">
        <f>VLOOKUP(A153,Dataset!A:L,12,FALSE)</f>
        <v>-655.45</v>
      </c>
    </row>
    <row r="154" spans="1:6">
      <c r="A154" s="3">
        <v>1152</v>
      </c>
      <c r="B154" s="3" t="str">
        <f>VLOOKUP(A154,Dataset!A:L,2,FALSE)</f>
        <v>Matthew Deleon</v>
      </c>
      <c r="C154" s="3" t="str">
        <f>VLOOKUP(A154,Dataset!A:L,3,FALSE)</f>
        <v>Shoes</v>
      </c>
      <c r="D154" s="3" t="str">
        <f>VLOOKUP(A154,Dataset!A:L,4,FALSE)</f>
        <v>Slip-ons</v>
      </c>
      <c r="E154" s="3">
        <f>VLOOKUP(A154,Dataset!A:L,8,FALSE)</f>
        <v>0</v>
      </c>
      <c r="F154" s="3">
        <f>VLOOKUP(A154,Dataset!A:L,12,FALSE)</f>
        <v>454.45</v>
      </c>
    </row>
    <row r="155" spans="1:6">
      <c r="A155" s="3">
        <v>1153</v>
      </c>
      <c r="B155" s="3" t="str">
        <f>VLOOKUP(A155,Dataset!A:L,2,FALSE)</f>
        <v>Julia Evans</v>
      </c>
      <c r="C155" s="3" t="str">
        <f>VLOOKUP(A155,Dataset!A:L,3,FALSE)</f>
        <v>Accessories</v>
      </c>
      <c r="D155" s="3" t="str">
        <f>VLOOKUP(A155,Dataset!A:L,4,FALSE)</f>
        <v>Belts</v>
      </c>
      <c r="E155" s="3">
        <f>VLOOKUP(A155,Dataset!A:L,8,FALSE)</f>
        <v>0</v>
      </c>
      <c r="F155" s="3">
        <f>VLOOKUP(A155,Dataset!A:L,12,FALSE)</f>
        <v>-681.2</v>
      </c>
    </row>
    <row r="156" spans="1:6">
      <c r="A156" s="3">
        <v>1154</v>
      </c>
      <c r="B156" s="3" t="str">
        <f>VLOOKUP(A156,Dataset!A:L,2,FALSE)</f>
        <v>Robert Parks</v>
      </c>
      <c r="C156" s="3" t="str">
        <f>VLOOKUP(A156,Dataset!A:L,3,FALSE)</f>
        <v>Accessories</v>
      </c>
      <c r="D156" s="3" t="str">
        <f>VLOOKUP(A156,Dataset!A:L,4,FALSE)</f>
        <v>Watches</v>
      </c>
      <c r="E156" s="3">
        <f>VLOOKUP(A156,Dataset!A:L,8,FALSE)</f>
        <v>0</v>
      </c>
      <c r="F156" s="3">
        <f>VLOOKUP(A156,Dataset!A:L,12,FALSE)</f>
        <v>52.85</v>
      </c>
    </row>
    <row r="157" spans="1:6">
      <c r="A157" s="3">
        <v>1155</v>
      </c>
      <c r="B157" s="3" t="str">
        <f>VLOOKUP(A157,Dataset!A:L,2,FALSE)</f>
        <v>Sean Small</v>
      </c>
      <c r="C157" s="3" t="str">
        <f>VLOOKUP(A157,Dataset!A:L,3,FALSE)</f>
        <v>Shoes</v>
      </c>
      <c r="D157" s="3" t="str">
        <f>VLOOKUP(A157,Dataset!A:L,4,FALSE)</f>
        <v>Slip-ons</v>
      </c>
      <c r="E157" s="3">
        <f>VLOOKUP(A157,Dataset!A:L,8,FALSE)</f>
        <v>0</v>
      </c>
      <c r="F157" s="3">
        <f>VLOOKUP(A157,Dataset!A:L,12,FALSE)</f>
        <v>2493.12</v>
      </c>
    </row>
    <row r="158" spans="1:6">
      <c r="A158" s="3">
        <v>1156</v>
      </c>
      <c r="B158" s="3" t="str">
        <f>VLOOKUP(A158,Dataset!A:L,2,FALSE)</f>
        <v>Jacob Moore</v>
      </c>
      <c r="C158" s="3" t="str">
        <f>VLOOKUP(A158,Dataset!A:L,3,FALSE)</f>
        <v>Dresses</v>
      </c>
      <c r="D158" s="3" t="str">
        <f>VLOOKUP(A158,Dataset!A:L,4,FALSE)</f>
        <v>Wrap Dress</v>
      </c>
      <c r="E158" s="3">
        <f>VLOOKUP(A158,Dataset!A:L,8,FALSE)</f>
        <v>0</v>
      </c>
      <c r="F158" s="3">
        <f>VLOOKUP(A158,Dataset!A:L,12,FALSE)</f>
        <v>1699.17</v>
      </c>
    </row>
    <row r="159" spans="1:6">
      <c r="A159" s="3">
        <v>1157</v>
      </c>
      <c r="B159" s="3" t="str">
        <f>VLOOKUP(A159,Dataset!A:L,2,FALSE)</f>
        <v>Dean Allen</v>
      </c>
      <c r="C159" s="3" t="str">
        <f>VLOOKUP(A159,Dataset!A:L,3,FALSE)</f>
        <v>Jeans</v>
      </c>
      <c r="D159" s="3" t="str">
        <f>VLOOKUP(A159,Dataset!A:L,4,FALSE)</f>
        <v>Ripped Denim</v>
      </c>
      <c r="E159" s="3">
        <f>VLOOKUP(A159,Dataset!A:L,8,FALSE)</f>
        <v>0</v>
      </c>
      <c r="F159" s="3">
        <f>VLOOKUP(A159,Dataset!A:L,12,FALSE)</f>
        <v>2724.92</v>
      </c>
    </row>
    <row r="160" spans="1:6">
      <c r="A160" s="3">
        <v>1158</v>
      </c>
      <c r="B160" s="3" t="str">
        <f>VLOOKUP(A160,Dataset!A:L,2,FALSE)</f>
        <v>Vicki Jackson</v>
      </c>
      <c r="C160" s="3" t="str">
        <f>VLOOKUP(A160,Dataset!A:L,3,FALSE)</f>
        <v>Dresses</v>
      </c>
      <c r="D160" s="3" t="str">
        <f>VLOOKUP(A160,Dataset!A:L,4,FALSE)</f>
        <v>Wrap Dress</v>
      </c>
      <c r="E160" s="3">
        <f>VLOOKUP(A160,Dataset!A:L,8,FALSE)</f>
        <v>0</v>
      </c>
      <c r="F160" s="3">
        <f>VLOOKUP(A160,Dataset!A:L,12,FALSE)</f>
        <v>2164.9499999999998</v>
      </c>
    </row>
    <row r="161" spans="1:6">
      <c r="A161" s="3">
        <v>1159</v>
      </c>
      <c r="B161" s="3" t="str">
        <f>VLOOKUP(A161,Dataset!A:L,2,FALSE)</f>
        <v>Robert Knox</v>
      </c>
      <c r="C161" s="3" t="str">
        <f>VLOOKUP(A161,Dataset!A:L,3,FALSE)</f>
        <v>Shoes</v>
      </c>
      <c r="D161" s="3" t="str">
        <f>VLOOKUP(A161,Dataset!A:L,4,FALSE)</f>
        <v>Sneakers</v>
      </c>
      <c r="E161" s="3">
        <f>VLOOKUP(A161,Dataset!A:L,8,FALSE)</f>
        <v>0</v>
      </c>
      <c r="F161" s="3">
        <f>VLOOKUP(A161,Dataset!A:L,12,FALSE)</f>
        <v>235.11</v>
      </c>
    </row>
    <row r="162" spans="1:6">
      <c r="A162" s="3">
        <v>1160</v>
      </c>
      <c r="B162" s="3" t="str">
        <f>VLOOKUP(A162,Dataset!A:L,2,FALSE)</f>
        <v>Ruben Oconnell</v>
      </c>
      <c r="C162" s="3" t="str">
        <f>VLOOKUP(A162,Dataset!A:L,3,FALSE)</f>
        <v>Dresses</v>
      </c>
      <c r="D162" s="3" t="str">
        <f>VLOOKUP(A162,Dataset!A:L,4,FALSE)</f>
        <v>Casual Midi</v>
      </c>
      <c r="E162" s="3">
        <f>VLOOKUP(A162,Dataset!A:L,8,FALSE)</f>
        <v>0</v>
      </c>
      <c r="F162" s="3">
        <f>VLOOKUP(A162,Dataset!A:L,12,FALSE)</f>
        <v>-711.19</v>
      </c>
    </row>
    <row r="163" spans="1:6">
      <c r="A163" s="3">
        <v>1161</v>
      </c>
      <c r="B163" s="3" t="str">
        <f>VLOOKUP(A163,Dataset!A:L,2,FALSE)</f>
        <v>Laura Gallegos</v>
      </c>
      <c r="C163" s="3" t="str">
        <f>VLOOKUP(A163,Dataset!A:L,3,FALSE)</f>
        <v>T-Shirts</v>
      </c>
      <c r="D163" s="3" t="str">
        <f>VLOOKUP(A163,Dataset!A:L,4,FALSE)</f>
        <v>Classic Tee</v>
      </c>
      <c r="E163" s="3">
        <f>VLOOKUP(A163,Dataset!A:L,8,FALSE)</f>
        <v>0</v>
      </c>
      <c r="F163" s="3">
        <f>VLOOKUP(A163,Dataset!A:L,12,FALSE)</f>
        <v>502.86</v>
      </c>
    </row>
    <row r="164" spans="1:6">
      <c r="A164" s="3">
        <v>1162</v>
      </c>
      <c r="B164" s="3" t="str">
        <f>VLOOKUP(A164,Dataset!A:L,2,FALSE)</f>
        <v>Christopher Harvey</v>
      </c>
      <c r="C164" s="3" t="str">
        <f>VLOOKUP(A164,Dataset!A:L,3,FALSE)</f>
        <v>Shoes</v>
      </c>
      <c r="D164" s="3" t="str">
        <f>VLOOKUP(A164,Dataset!A:L,4,FALSE)</f>
        <v>Boots</v>
      </c>
      <c r="E164" s="3">
        <f>VLOOKUP(A164,Dataset!A:L,8,FALSE)</f>
        <v>0</v>
      </c>
      <c r="F164" s="3">
        <f>VLOOKUP(A164,Dataset!A:L,12,FALSE)</f>
        <v>2566.0500000000002</v>
      </c>
    </row>
    <row r="165" spans="1:6">
      <c r="A165" s="3">
        <v>1163</v>
      </c>
      <c r="B165" s="3" t="str">
        <f>VLOOKUP(A165,Dataset!A:L,2,FALSE)</f>
        <v>Scott Hampton</v>
      </c>
      <c r="C165" s="3" t="str">
        <f>VLOOKUP(A165,Dataset!A:L,3,FALSE)</f>
        <v>Accessories</v>
      </c>
      <c r="D165" s="3" t="str">
        <f>VLOOKUP(A165,Dataset!A:L,4,FALSE)</f>
        <v>Sunglasses</v>
      </c>
      <c r="E165" s="3">
        <f>VLOOKUP(A165,Dataset!A:L,8,FALSE)</f>
        <v>0</v>
      </c>
      <c r="F165" s="3">
        <f>VLOOKUP(A165,Dataset!A:L,12,FALSE)</f>
        <v>-441.46</v>
      </c>
    </row>
    <row r="166" spans="1:6">
      <c r="A166" s="3">
        <v>1164</v>
      </c>
      <c r="B166" s="3" t="str">
        <f>VLOOKUP(A166,Dataset!A:L,2,FALSE)</f>
        <v>Steven Ingram</v>
      </c>
      <c r="C166" s="3" t="str">
        <f>VLOOKUP(A166,Dataset!A:L,3,FALSE)</f>
        <v>Accessories</v>
      </c>
      <c r="D166" s="3" t="str">
        <f>VLOOKUP(A166,Dataset!A:L,4,FALSE)</f>
        <v>Sunglasses</v>
      </c>
      <c r="E166" s="3">
        <f>VLOOKUP(A166,Dataset!A:L,8,FALSE)</f>
        <v>0</v>
      </c>
      <c r="F166" s="3">
        <f>VLOOKUP(A166,Dataset!A:L,12,FALSE)</f>
        <v>598.79</v>
      </c>
    </row>
    <row r="167" spans="1:6">
      <c r="A167" s="3">
        <v>1165</v>
      </c>
      <c r="B167" s="3" t="str">
        <f>VLOOKUP(A167,Dataset!A:L,2,FALSE)</f>
        <v>Joshua Jones</v>
      </c>
      <c r="C167" s="3" t="str">
        <f>VLOOKUP(A167,Dataset!A:L,3,FALSE)</f>
        <v>T-Shirts</v>
      </c>
      <c r="D167" s="3" t="str">
        <f>VLOOKUP(A167,Dataset!A:L,4,FALSE)</f>
        <v>Classic Tee</v>
      </c>
      <c r="E167" s="3">
        <f>VLOOKUP(A167,Dataset!A:L,8,FALSE)</f>
        <v>0</v>
      </c>
      <c r="F167" s="3">
        <f>VLOOKUP(A167,Dataset!A:L,12,FALSE)</f>
        <v>-102.32</v>
      </c>
    </row>
    <row r="168" spans="1:6">
      <c r="A168" s="3">
        <v>1166</v>
      </c>
      <c r="B168" s="3" t="str">
        <f>VLOOKUP(A168,Dataset!A:L,2,FALSE)</f>
        <v>Jennifer Johnson</v>
      </c>
      <c r="C168" s="3" t="str">
        <f>VLOOKUP(A168,Dataset!A:L,3,FALSE)</f>
        <v>Jackets</v>
      </c>
      <c r="D168" s="3" t="str">
        <f>VLOOKUP(A168,Dataset!A:L,4,FALSE)</f>
        <v>Bomber Jacket</v>
      </c>
      <c r="E168" s="3">
        <f>VLOOKUP(A168,Dataset!A:L,8,FALSE)</f>
        <v>0</v>
      </c>
      <c r="F168" s="3">
        <f>VLOOKUP(A168,Dataset!A:L,12,FALSE)</f>
        <v>285.44</v>
      </c>
    </row>
    <row r="169" spans="1:6">
      <c r="A169" s="3">
        <v>1167</v>
      </c>
      <c r="B169" s="3" t="str">
        <f>VLOOKUP(A169,Dataset!A:L,2,FALSE)</f>
        <v>Robert Evans</v>
      </c>
      <c r="C169" s="3" t="str">
        <f>VLOOKUP(A169,Dataset!A:L,3,FALSE)</f>
        <v>T-Shirts</v>
      </c>
      <c r="D169" s="3" t="str">
        <f>VLOOKUP(A169,Dataset!A:L,4,FALSE)</f>
        <v>Oversized T-shirt</v>
      </c>
      <c r="E169" s="3">
        <f>VLOOKUP(A169,Dataset!A:L,8,FALSE)</f>
        <v>0</v>
      </c>
      <c r="F169" s="3">
        <f>VLOOKUP(A169,Dataset!A:L,12,FALSE)</f>
        <v>-653.79999999999995</v>
      </c>
    </row>
    <row r="170" spans="1:6">
      <c r="A170" s="3">
        <v>1168</v>
      </c>
      <c r="B170" s="3" t="str">
        <f>VLOOKUP(A170,Dataset!A:L,2,FALSE)</f>
        <v>Eugene Olson Jr.</v>
      </c>
      <c r="C170" s="3" t="str">
        <f>VLOOKUP(A170,Dataset!A:L,3,FALSE)</f>
        <v>Accessories</v>
      </c>
      <c r="D170" s="3" t="str">
        <f>VLOOKUP(A170,Dataset!A:L,4,FALSE)</f>
        <v>Sunglasses</v>
      </c>
      <c r="E170" s="3">
        <f>VLOOKUP(A170,Dataset!A:L,8,FALSE)</f>
        <v>0</v>
      </c>
      <c r="F170" s="3">
        <f>VLOOKUP(A170,Dataset!A:L,12,FALSE)</f>
        <v>2024.15</v>
      </c>
    </row>
    <row r="171" spans="1:6">
      <c r="A171" s="3">
        <v>1169</v>
      </c>
      <c r="B171" s="3" t="str">
        <f>VLOOKUP(A171,Dataset!A:L,2,FALSE)</f>
        <v>Kristine Sexton</v>
      </c>
      <c r="C171" s="3" t="str">
        <f>VLOOKUP(A171,Dataset!A:L,3,FALSE)</f>
        <v>T-Shirts</v>
      </c>
      <c r="D171" s="3" t="str">
        <f>VLOOKUP(A171,Dataset!A:L,4,FALSE)</f>
        <v>Classic Tee</v>
      </c>
      <c r="E171" s="3">
        <f>VLOOKUP(A171,Dataset!A:L,8,FALSE)</f>
        <v>-294.83</v>
      </c>
      <c r="F171" s="3">
        <f>VLOOKUP(A171,Dataset!A:L,12,FALSE)</f>
        <v>1285.1500000000001</v>
      </c>
    </row>
    <row r="172" spans="1:6">
      <c r="A172" s="3">
        <v>1170</v>
      </c>
      <c r="B172" s="3" t="str">
        <f>VLOOKUP(A172,Dataset!A:L,2,FALSE)</f>
        <v>Marc Hull</v>
      </c>
      <c r="C172" s="3" t="str">
        <f>VLOOKUP(A172,Dataset!A:L,3,FALSE)</f>
        <v>Jeans</v>
      </c>
      <c r="D172" s="3" t="str">
        <f>VLOOKUP(A172,Dataset!A:L,4,FALSE)</f>
        <v>Straight Cut</v>
      </c>
      <c r="E172" s="3">
        <f>VLOOKUP(A172,Dataset!A:L,8,FALSE)</f>
        <v>0</v>
      </c>
      <c r="F172" s="3">
        <f>VLOOKUP(A172,Dataset!A:L,12,FALSE)</f>
        <v>-528.70000000000005</v>
      </c>
    </row>
    <row r="173" spans="1:6">
      <c r="A173" s="3">
        <v>1171</v>
      </c>
      <c r="B173" s="3" t="str">
        <f>VLOOKUP(A173,Dataset!A:L,2,FALSE)</f>
        <v>Richard Johnson</v>
      </c>
      <c r="C173" s="3" t="str">
        <f>VLOOKUP(A173,Dataset!A:L,3,FALSE)</f>
        <v>Jeans</v>
      </c>
      <c r="D173" s="3" t="str">
        <f>VLOOKUP(A173,Dataset!A:L,4,FALSE)</f>
        <v>Straight Cut</v>
      </c>
      <c r="E173" s="3">
        <f>VLOOKUP(A173,Dataset!A:L,8,FALSE)</f>
        <v>0</v>
      </c>
      <c r="F173" s="3">
        <f>VLOOKUP(A173,Dataset!A:L,12,FALSE)</f>
        <v>2475.83</v>
      </c>
    </row>
    <row r="174" spans="1:6">
      <c r="A174" s="3">
        <v>1172</v>
      </c>
      <c r="B174" s="3" t="str">
        <f>VLOOKUP(A174,Dataset!A:L,2,FALSE)</f>
        <v>Diane Davis</v>
      </c>
      <c r="C174" s="3" t="str">
        <f>VLOOKUP(A174,Dataset!A:L,3,FALSE)</f>
        <v>Jackets</v>
      </c>
      <c r="D174" s="3" t="str">
        <f>VLOOKUP(A174,Dataset!A:L,4,FALSE)</f>
        <v>Puffer Coat</v>
      </c>
      <c r="E174" s="3">
        <f>VLOOKUP(A174,Dataset!A:L,8,FALSE)</f>
        <v>0</v>
      </c>
      <c r="F174" s="3">
        <f>VLOOKUP(A174,Dataset!A:L,12,FALSE)</f>
        <v>655.1</v>
      </c>
    </row>
    <row r="175" spans="1:6">
      <c r="A175" s="3">
        <v>1173</v>
      </c>
      <c r="B175" s="3" t="str">
        <f>VLOOKUP(A175,Dataset!A:L,2,FALSE)</f>
        <v>Shaun Bush</v>
      </c>
      <c r="C175" s="3" t="str">
        <f>VLOOKUP(A175,Dataset!A:L,3,FALSE)</f>
        <v>Jeans</v>
      </c>
      <c r="D175" s="3" t="str">
        <f>VLOOKUP(A175,Dataset!A:L,4,FALSE)</f>
        <v>Boyfriend Jeans</v>
      </c>
      <c r="E175" s="3">
        <f>VLOOKUP(A175,Dataset!A:L,8,FALSE)</f>
        <v>0</v>
      </c>
      <c r="F175" s="3">
        <f>VLOOKUP(A175,Dataset!A:L,12,FALSE)</f>
        <v>2034.39</v>
      </c>
    </row>
    <row r="176" spans="1:6">
      <c r="A176" s="3">
        <v>1174</v>
      </c>
      <c r="B176" s="3" t="str">
        <f>VLOOKUP(A176,Dataset!A:L,2,FALSE)</f>
        <v>Tiffany Flores</v>
      </c>
      <c r="C176" s="3" t="str">
        <f>VLOOKUP(A176,Dataset!A:L,3,FALSE)</f>
        <v>Jackets</v>
      </c>
      <c r="D176" s="3" t="str">
        <f>VLOOKUP(A176,Dataset!A:L,4,FALSE)</f>
        <v>Leather Jacket</v>
      </c>
      <c r="E176" s="3">
        <f>VLOOKUP(A176,Dataset!A:L,8,FALSE)</f>
        <v>17346.580000000002</v>
      </c>
      <c r="F176" s="3">
        <f>VLOOKUP(A176,Dataset!A:L,12,FALSE)</f>
        <v>2931.32</v>
      </c>
    </row>
    <row r="177" spans="1:6">
      <c r="A177" s="3">
        <v>1175</v>
      </c>
      <c r="B177" s="3" t="str">
        <f>VLOOKUP(A177,Dataset!A:L,2,FALSE)</f>
        <v>Ashley Brown</v>
      </c>
      <c r="C177" s="3" t="str">
        <f>VLOOKUP(A177,Dataset!A:L,3,FALSE)</f>
        <v>Dresses</v>
      </c>
      <c r="D177" s="3" t="str">
        <f>VLOOKUP(A177,Dataset!A:L,4,FALSE)</f>
        <v>Casual Midi</v>
      </c>
      <c r="E177" s="3">
        <f>VLOOKUP(A177,Dataset!A:L,8,FALSE)</f>
        <v>0</v>
      </c>
      <c r="F177" s="3">
        <f>VLOOKUP(A177,Dataset!A:L,12,FALSE)</f>
        <v>728.61</v>
      </c>
    </row>
    <row r="178" spans="1:6">
      <c r="A178" s="3">
        <v>1176</v>
      </c>
      <c r="B178" s="3" t="str">
        <f>VLOOKUP(A178,Dataset!A:L,2,FALSE)</f>
        <v>Bailey Williamson</v>
      </c>
      <c r="C178" s="3" t="str">
        <f>VLOOKUP(A178,Dataset!A:L,3,FALSE)</f>
        <v>Jeans</v>
      </c>
      <c r="D178" s="3" t="str">
        <f>VLOOKUP(A178,Dataset!A:L,4,FALSE)</f>
        <v>Boyfriend Jeans</v>
      </c>
      <c r="E178" s="3">
        <f>VLOOKUP(A178,Dataset!A:L,8,FALSE)</f>
        <v>0</v>
      </c>
      <c r="F178" s="3">
        <f>VLOOKUP(A178,Dataset!A:L,12,FALSE)</f>
        <v>-879.15</v>
      </c>
    </row>
    <row r="179" spans="1:6">
      <c r="A179" s="3">
        <v>1177</v>
      </c>
      <c r="B179" s="3" t="str">
        <f>VLOOKUP(A179,Dataset!A:L,2,FALSE)</f>
        <v>Elizabeth Torres</v>
      </c>
      <c r="C179" s="3" t="str">
        <f>VLOOKUP(A179,Dataset!A:L,3,FALSE)</f>
        <v>Jeans</v>
      </c>
      <c r="D179" s="3" t="str">
        <f>VLOOKUP(A179,Dataset!A:L,4,FALSE)</f>
        <v>Straight Cut</v>
      </c>
      <c r="E179" s="3">
        <f>VLOOKUP(A179,Dataset!A:L,8,FALSE)</f>
        <v>0</v>
      </c>
      <c r="F179" s="3">
        <f>VLOOKUP(A179,Dataset!A:L,12,FALSE)</f>
        <v>353.91</v>
      </c>
    </row>
    <row r="180" spans="1:6">
      <c r="A180" s="3">
        <v>1178</v>
      </c>
      <c r="B180" s="3" t="str">
        <f>VLOOKUP(A180,Dataset!A:L,2,FALSE)</f>
        <v>Joshua Anderson</v>
      </c>
      <c r="C180" s="3" t="str">
        <f>VLOOKUP(A180,Dataset!A:L,3,FALSE)</f>
        <v>T-Shirts</v>
      </c>
      <c r="D180" s="3" t="str">
        <f>VLOOKUP(A180,Dataset!A:L,4,FALSE)</f>
        <v>Crop Top</v>
      </c>
      <c r="E180" s="3">
        <f>VLOOKUP(A180,Dataset!A:L,8,FALSE)</f>
        <v>0</v>
      </c>
      <c r="F180" s="3">
        <f>VLOOKUP(A180,Dataset!A:L,12,FALSE)</f>
        <v>2161.64</v>
      </c>
    </row>
    <row r="181" spans="1:6">
      <c r="A181" s="3">
        <v>1179</v>
      </c>
      <c r="B181" s="3" t="str">
        <f>VLOOKUP(A181,Dataset!A:L,2,FALSE)</f>
        <v>Kevin Allen</v>
      </c>
      <c r="C181" s="3" t="str">
        <f>VLOOKUP(A181,Dataset!A:L,3,FALSE)</f>
        <v>Jackets</v>
      </c>
      <c r="D181" s="3" t="str">
        <f>VLOOKUP(A181,Dataset!A:L,4,FALSE)</f>
        <v>Bomber Jacket</v>
      </c>
      <c r="E181" s="3">
        <f>VLOOKUP(A181,Dataset!A:L,8,FALSE)</f>
        <v>0</v>
      </c>
      <c r="F181" s="3">
        <f>VLOOKUP(A181,Dataset!A:L,12,FALSE)</f>
        <v>510.53</v>
      </c>
    </row>
    <row r="182" spans="1:6">
      <c r="A182" s="3">
        <v>1180</v>
      </c>
      <c r="B182" s="3" t="str">
        <f>VLOOKUP(A182,Dataset!A:L,2,FALSE)</f>
        <v>Michelle Moore</v>
      </c>
      <c r="C182" s="3" t="str">
        <f>VLOOKUP(A182,Dataset!A:L,3,FALSE)</f>
        <v>Dresses</v>
      </c>
      <c r="D182" s="3" t="str">
        <f>VLOOKUP(A182,Dataset!A:L,4,FALSE)</f>
        <v>Bodycon</v>
      </c>
      <c r="E182" s="3">
        <f>VLOOKUP(A182,Dataset!A:L,8,FALSE)</f>
        <v>0</v>
      </c>
      <c r="F182" s="3">
        <f>VLOOKUP(A182,Dataset!A:L,12,FALSE)</f>
        <v>835.4</v>
      </c>
    </row>
    <row r="183" spans="1:6">
      <c r="A183" s="3">
        <v>1181</v>
      </c>
      <c r="B183" s="3" t="str">
        <f>VLOOKUP(A183,Dataset!A:L,2,FALSE)</f>
        <v>John Barber</v>
      </c>
      <c r="C183" s="3" t="str">
        <f>VLOOKUP(A183,Dataset!A:L,3,FALSE)</f>
        <v>Jackets</v>
      </c>
      <c r="D183" s="3" t="str">
        <f>VLOOKUP(A183,Dataset!A:L,4,FALSE)</f>
        <v>Bomber Jacket</v>
      </c>
      <c r="E183" s="3">
        <f>VLOOKUP(A183,Dataset!A:L,8,FALSE)</f>
        <v>0</v>
      </c>
      <c r="F183" s="3">
        <f>VLOOKUP(A183,Dataset!A:L,12,FALSE)</f>
        <v>2564.06</v>
      </c>
    </row>
    <row r="184" spans="1:6">
      <c r="A184" s="3">
        <v>1182</v>
      </c>
      <c r="B184" s="3" t="str">
        <f>VLOOKUP(A184,Dataset!A:L,2,FALSE)</f>
        <v>Andrew Mclaughlin</v>
      </c>
      <c r="C184" s="3" t="str">
        <f>VLOOKUP(A184,Dataset!A:L,3,FALSE)</f>
        <v>Jeans</v>
      </c>
      <c r="D184" s="3" t="str">
        <f>VLOOKUP(A184,Dataset!A:L,4,FALSE)</f>
        <v>Slim Fit Jeans</v>
      </c>
      <c r="E184" s="3">
        <f>VLOOKUP(A184,Dataset!A:L,8,FALSE)</f>
        <v>0</v>
      </c>
      <c r="F184" s="3">
        <f>VLOOKUP(A184,Dataset!A:L,12,FALSE)</f>
        <v>-747.25</v>
      </c>
    </row>
    <row r="185" spans="1:6">
      <c r="A185" s="3">
        <v>1183</v>
      </c>
      <c r="B185" s="3" t="str">
        <f>VLOOKUP(A185,Dataset!A:L,2,FALSE)</f>
        <v>Sherry Ward</v>
      </c>
      <c r="C185" s="3" t="str">
        <f>VLOOKUP(A185,Dataset!A:L,3,FALSE)</f>
        <v>Accessories</v>
      </c>
      <c r="D185" s="3" t="str">
        <f>VLOOKUP(A185,Dataset!A:L,4,FALSE)</f>
        <v>Watches</v>
      </c>
      <c r="E185" s="3">
        <f>VLOOKUP(A185,Dataset!A:L,8,FALSE)</f>
        <v>0</v>
      </c>
      <c r="F185" s="3">
        <f>VLOOKUP(A185,Dataset!A:L,12,FALSE)</f>
        <v>1888.87</v>
      </c>
    </row>
    <row r="186" spans="1:6">
      <c r="A186" s="3">
        <v>1184</v>
      </c>
      <c r="B186" s="3" t="str">
        <f>VLOOKUP(A186,Dataset!A:L,2,FALSE)</f>
        <v>Craig Farrell</v>
      </c>
      <c r="C186" s="3" t="str">
        <f>VLOOKUP(A186,Dataset!A:L,3,FALSE)</f>
        <v>Jeans</v>
      </c>
      <c r="D186" s="3" t="str">
        <f>VLOOKUP(A186,Dataset!A:L,4,FALSE)</f>
        <v>Ripped Denim</v>
      </c>
      <c r="E186" s="3">
        <f>VLOOKUP(A186,Dataset!A:L,8,FALSE)</f>
        <v>0</v>
      </c>
      <c r="F186" s="3">
        <f>VLOOKUP(A186,Dataset!A:L,12,FALSE)</f>
        <v>1518.99</v>
      </c>
    </row>
    <row r="187" spans="1:6">
      <c r="A187" s="3">
        <v>1185</v>
      </c>
      <c r="B187" s="3" t="str">
        <f>VLOOKUP(A187,Dataset!A:L,2,FALSE)</f>
        <v>Stacy Brady</v>
      </c>
      <c r="C187" s="3" t="str">
        <f>VLOOKUP(A187,Dataset!A:L,3,FALSE)</f>
        <v>Accessories</v>
      </c>
      <c r="D187" s="3" t="str">
        <f>VLOOKUP(A187,Dataset!A:L,4,FALSE)</f>
        <v>Belts</v>
      </c>
      <c r="E187" s="3">
        <f>VLOOKUP(A187,Dataset!A:L,8,FALSE)</f>
        <v>0</v>
      </c>
      <c r="F187" s="3">
        <f>VLOOKUP(A187,Dataset!A:L,12,FALSE)</f>
        <v>-445.19</v>
      </c>
    </row>
    <row r="188" spans="1:6">
      <c r="A188" s="3">
        <v>1186</v>
      </c>
      <c r="B188" s="3" t="str">
        <f>VLOOKUP(A188,Dataset!A:L,2,FALSE)</f>
        <v>Daniel Patton</v>
      </c>
      <c r="C188" s="3" t="str">
        <f>VLOOKUP(A188,Dataset!A:L,3,FALSE)</f>
        <v>Jeans</v>
      </c>
      <c r="D188" s="3" t="str">
        <f>VLOOKUP(A188,Dataset!A:L,4,FALSE)</f>
        <v>Boyfriend Jeans</v>
      </c>
      <c r="E188" s="3">
        <f>VLOOKUP(A188,Dataset!A:L,8,FALSE)</f>
        <v>0</v>
      </c>
      <c r="F188" s="3">
        <f>VLOOKUP(A188,Dataset!A:L,12,FALSE)</f>
        <v>-40.479999999999997</v>
      </c>
    </row>
    <row r="189" spans="1:6">
      <c r="A189" s="3">
        <v>1187</v>
      </c>
      <c r="B189" s="3" t="str">
        <f>VLOOKUP(A189,Dataset!A:L,2,FALSE)</f>
        <v>Karen Smith</v>
      </c>
      <c r="C189" s="3" t="str">
        <f>VLOOKUP(A189,Dataset!A:L,3,FALSE)</f>
        <v>Accessories</v>
      </c>
      <c r="D189" s="3" t="str">
        <f>VLOOKUP(A189,Dataset!A:L,4,FALSE)</f>
        <v>Belts</v>
      </c>
      <c r="E189" s="3">
        <f>VLOOKUP(A189,Dataset!A:L,8,FALSE)</f>
        <v>0</v>
      </c>
      <c r="F189" s="3">
        <f>VLOOKUP(A189,Dataset!A:L,12,FALSE)</f>
        <v>1153.72</v>
      </c>
    </row>
    <row r="190" spans="1:6">
      <c r="A190" s="3">
        <v>1188</v>
      </c>
      <c r="B190" s="3" t="str">
        <f>VLOOKUP(A190,Dataset!A:L,2,FALSE)</f>
        <v>Maria Morrow</v>
      </c>
      <c r="C190" s="3" t="str">
        <f>VLOOKUP(A190,Dataset!A:L,3,FALSE)</f>
        <v>Accessories</v>
      </c>
      <c r="D190" s="3" t="str">
        <f>VLOOKUP(A190,Dataset!A:L,4,FALSE)</f>
        <v>Belts</v>
      </c>
      <c r="E190" s="3">
        <f>VLOOKUP(A190,Dataset!A:L,8,FALSE)</f>
        <v>25926.28</v>
      </c>
      <c r="F190" s="3">
        <f>VLOOKUP(A190,Dataset!A:L,12,FALSE)</f>
        <v>2089.25</v>
      </c>
    </row>
    <row r="191" spans="1:6">
      <c r="A191" s="3">
        <v>1189</v>
      </c>
      <c r="B191" s="3" t="str">
        <f>VLOOKUP(A191,Dataset!A:L,2,FALSE)</f>
        <v>Elizabeth Johnson</v>
      </c>
      <c r="C191" s="3" t="str">
        <f>VLOOKUP(A191,Dataset!A:L,3,FALSE)</f>
        <v>T-Shirts</v>
      </c>
      <c r="D191" s="3" t="str">
        <f>VLOOKUP(A191,Dataset!A:L,4,FALSE)</f>
        <v>Oversized T-shirt</v>
      </c>
      <c r="E191" s="3">
        <f>VLOOKUP(A191,Dataset!A:L,8,FALSE)</f>
        <v>0</v>
      </c>
      <c r="F191" s="3">
        <f>VLOOKUP(A191,Dataset!A:L,12,FALSE)</f>
        <v>392.87</v>
      </c>
    </row>
    <row r="192" spans="1:6">
      <c r="A192" s="3">
        <v>1190</v>
      </c>
      <c r="B192" s="3" t="str">
        <f>VLOOKUP(A192,Dataset!A:L,2,FALSE)</f>
        <v>Antonio Boyd PhD</v>
      </c>
      <c r="C192" s="3" t="str">
        <f>VLOOKUP(A192,Dataset!A:L,3,FALSE)</f>
        <v>Jackets</v>
      </c>
      <c r="D192" s="3" t="str">
        <f>VLOOKUP(A192,Dataset!A:L,4,FALSE)</f>
        <v>Puffer Coat</v>
      </c>
      <c r="E192" s="3">
        <f>VLOOKUP(A192,Dataset!A:L,8,FALSE)</f>
        <v>0</v>
      </c>
      <c r="F192" s="3">
        <f>VLOOKUP(A192,Dataset!A:L,12,FALSE)</f>
        <v>75.040000000000006</v>
      </c>
    </row>
    <row r="193" spans="1:6">
      <c r="A193" s="3">
        <v>1191</v>
      </c>
      <c r="B193" s="3" t="str">
        <f>VLOOKUP(A193,Dataset!A:L,2,FALSE)</f>
        <v>John Tucker</v>
      </c>
      <c r="C193" s="3" t="str">
        <f>VLOOKUP(A193,Dataset!A:L,3,FALSE)</f>
        <v>Accessories</v>
      </c>
      <c r="D193" s="3" t="str">
        <f>VLOOKUP(A193,Dataset!A:L,4,FALSE)</f>
        <v>Belts</v>
      </c>
      <c r="E193" s="3">
        <f>VLOOKUP(A193,Dataset!A:L,8,FALSE)</f>
        <v>0</v>
      </c>
      <c r="F193" s="3">
        <f>VLOOKUP(A193,Dataset!A:L,12,FALSE)</f>
        <v>2860.2</v>
      </c>
    </row>
    <row r="194" spans="1:6">
      <c r="A194" s="3">
        <v>1010</v>
      </c>
      <c r="B194" s="3" t="str">
        <f>VLOOKUP(A194,Dataset!A:L,2,FALSE)</f>
        <v>Oscar Turner</v>
      </c>
      <c r="C194" s="3" t="str">
        <f>VLOOKUP(A194,Dataset!A:L,3,FALSE)</f>
        <v>T-Shirts</v>
      </c>
      <c r="D194" s="3" t="str">
        <f>VLOOKUP(A194,Dataset!A:L,4,FALSE)</f>
        <v>Crop Top</v>
      </c>
      <c r="E194" s="3">
        <f>VLOOKUP(A194,Dataset!A:L,8,FALSE)</f>
        <v>0</v>
      </c>
      <c r="F194" s="3">
        <f>VLOOKUP(A194,Dataset!A:L,12,FALSE)</f>
        <v>-950.38</v>
      </c>
    </row>
    <row r="195" spans="1:6">
      <c r="A195" s="3">
        <v>1193</v>
      </c>
      <c r="B195" s="3" t="str">
        <f>VLOOKUP(A195,Dataset!A:L,2,FALSE)</f>
        <v>Christine Lopez</v>
      </c>
      <c r="C195" s="3" t="str">
        <f>VLOOKUP(A195,Dataset!A:L,3,FALSE)</f>
        <v>Dresses</v>
      </c>
      <c r="D195" s="3" t="str">
        <f>VLOOKUP(A195,Dataset!A:L,4,FALSE)</f>
        <v>Casual Midi</v>
      </c>
      <c r="E195" s="3">
        <f>VLOOKUP(A195,Dataset!A:L,8,FALSE)</f>
        <v>0</v>
      </c>
      <c r="F195" s="3">
        <f>VLOOKUP(A195,Dataset!A:L,12,FALSE)</f>
        <v>-682.74</v>
      </c>
    </row>
    <row r="196" spans="1:6">
      <c r="A196" s="3">
        <v>1032</v>
      </c>
      <c r="B196" s="3" t="str">
        <f>VLOOKUP(A196,Dataset!A:L,2,FALSE)</f>
        <v>Kim Harris</v>
      </c>
      <c r="C196" s="3" t="str">
        <f>VLOOKUP(A196,Dataset!A:L,3,FALSE)</f>
        <v>Jeans</v>
      </c>
      <c r="D196" s="3" t="str">
        <f>VLOOKUP(A196,Dataset!A:L,4,FALSE)</f>
        <v>Boyfriend Jeans</v>
      </c>
      <c r="E196" s="3">
        <f>VLOOKUP(A196,Dataset!A:L,8,FALSE)</f>
        <v>0</v>
      </c>
      <c r="F196" s="3">
        <f>VLOOKUP(A196,Dataset!A:L,12,FALSE)</f>
        <v>1377.61</v>
      </c>
    </row>
    <row r="197" spans="1:6">
      <c r="A197" s="3">
        <v>1195</v>
      </c>
      <c r="B197" s="3" t="str">
        <f>VLOOKUP(A197,Dataset!A:L,2,FALSE)</f>
        <v>Christine Rodgers</v>
      </c>
      <c r="C197" s="3" t="str">
        <f>VLOOKUP(A197,Dataset!A:L,3,FALSE)</f>
        <v>Dresses</v>
      </c>
      <c r="D197" s="3" t="str">
        <f>VLOOKUP(A197,Dataset!A:L,4,FALSE)</f>
        <v>Wrap Dress</v>
      </c>
      <c r="E197" s="3">
        <f>VLOOKUP(A197,Dataset!A:L,8,FALSE)</f>
        <v>0</v>
      </c>
      <c r="F197" s="3">
        <f>VLOOKUP(A197,Dataset!A:L,12,FALSE)</f>
        <v>1059.17</v>
      </c>
    </row>
    <row r="198" spans="1:6">
      <c r="A198" s="3">
        <v>1196</v>
      </c>
      <c r="B198" s="3" t="str">
        <f>VLOOKUP(A198,Dataset!A:L,2,FALSE)</f>
        <v>Michael Hawkins</v>
      </c>
      <c r="C198" s="3" t="str">
        <f>VLOOKUP(A198,Dataset!A:L,3,FALSE)</f>
        <v>Jeans</v>
      </c>
      <c r="D198" s="3" t="str">
        <f>VLOOKUP(A198,Dataset!A:L,4,FALSE)</f>
        <v>Slim Fit Jeans</v>
      </c>
      <c r="E198" s="3">
        <f>VLOOKUP(A198,Dataset!A:L,8,FALSE)</f>
        <v>0</v>
      </c>
      <c r="F198" s="3">
        <f>VLOOKUP(A198,Dataset!A:L,12,FALSE)</f>
        <v>1539.5</v>
      </c>
    </row>
    <row r="199" spans="1:6">
      <c r="A199" s="3">
        <v>1197</v>
      </c>
      <c r="B199" s="3" t="str">
        <f>VLOOKUP(A199,Dataset!A:L,2,FALSE)</f>
        <v>Dean Jimenez</v>
      </c>
      <c r="C199" s="3" t="str">
        <f>VLOOKUP(A199,Dataset!A:L,3,FALSE)</f>
        <v>Jackets</v>
      </c>
      <c r="D199" s="3" t="str">
        <f>VLOOKUP(A199,Dataset!A:L,4,FALSE)</f>
        <v>Denim Jacket</v>
      </c>
      <c r="E199" s="3">
        <f>VLOOKUP(A199,Dataset!A:L,8,FALSE)</f>
        <v>0</v>
      </c>
      <c r="F199" s="3">
        <f>VLOOKUP(A199,Dataset!A:L,12,FALSE)</f>
        <v>650.97</v>
      </c>
    </row>
    <row r="200" spans="1:6">
      <c r="A200" s="3">
        <v>1198</v>
      </c>
      <c r="B200" s="3" t="str">
        <f>VLOOKUP(A200,Dataset!A:L,2,FALSE)</f>
        <v>Jacqueline Erickson</v>
      </c>
      <c r="C200" s="3" t="str">
        <f>VLOOKUP(A200,Dataset!A:L,3,FALSE)</f>
        <v>Accessories</v>
      </c>
      <c r="D200" s="3" t="str">
        <f>VLOOKUP(A200,Dataset!A:L,4,FALSE)</f>
        <v>Sunglasses</v>
      </c>
      <c r="E200" s="3">
        <f>VLOOKUP(A200,Dataset!A:L,8,FALSE)</f>
        <v>0</v>
      </c>
      <c r="F200" s="3">
        <f>VLOOKUP(A200,Dataset!A:L,12,FALSE)</f>
        <v>2422.27</v>
      </c>
    </row>
    <row r="201" spans="1:6">
      <c r="A201" s="3">
        <v>1199</v>
      </c>
      <c r="B201" s="3" t="str">
        <f>VLOOKUP(A201,Dataset!A:L,2,FALSE)</f>
        <v>Jade Chavez</v>
      </c>
      <c r="C201" s="3" t="str">
        <f>VLOOKUP(A201,Dataset!A:L,3,FALSE)</f>
        <v>Shoes</v>
      </c>
      <c r="D201" s="3" t="str">
        <f>VLOOKUP(A201,Dataset!A:L,4,FALSE)</f>
        <v>Boots</v>
      </c>
      <c r="E201" s="3">
        <f>VLOOKUP(A201,Dataset!A:L,8,FALSE)</f>
        <v>0</v>
      </c>
      <c r="F201" s="3">
        <f>VLOOKUP(A201,Dataset!A:L,12,FALSE)</f>
        <v>2637.77</v>
      </c>
    </row>
    <row r="202" spans="1:6">
      <c r="A202" s="3">
        <v>1200</v>
      </c>
      <c r="B202" s="3" t="str">
        <f>VLOOKUP(A202,Dataset!A:L,2,FALSE)</f>
        <v>Laura Green</v>
      </c>
      <c r="C202" s="3" t="str">
        <f>VLOOKUP(A202,Dataset!A:L,3,FALSE)</f>
        <v>Shoes</v>
      </c>
      <c r="D202" s="3" t="str">
        <f>VLOOKUP(A202,Dataset!A:L,4,FALSE)</f>
        <v>Sneakers</v>
      </c>
      <c r="E202" s="3">
        <f>VLOOKUP(A202,Dataset!A:L,8,FALSE)</f>
        <v>0</v>
      </c>
      <c r="F202" s="3">
        <f>VLOOKUP(A202,Dataset!A:L,12,FALSE)</f>
        <v>2782.21</v>
      </c>
    </row>
    <row r="203" spans="1:6">
      <c r="A203" s="3">
        <v>1201</v>
      </c>
      <c r="B203" s="3" t="str">
        <f>VLOOKUP(A203,Dataset!A:L,2,FALSE)</f>
        <v>Crystal Hayes MD</v>
      </c>
      <c r="C203" s="3" t="str">
        <f>VLOOKUP(A203,Dataset!A:L,3,FALSE)</f>
        <v>Jackets</v>
      </c>
      <c r="D203" s="3" t="str">
        <f>VLOOKUP(A203,Dataset!A:L,4,FALSE)</f>
        <v>Bomber Jacket</v>
      </c>
      <c r="E203" s="3">
        <f>VLOOKUP(A203,Dataset!A:L,8,FALSE)</f>
        <v>0</v>
      </c>
      <c r="F203" s="3">
        <f>VLOOKUP(A203,Dataset!A:L,12,FALSE)</f>
        <v>1023.04</v>
      </c>
    </row>
    <row r="204" spans="1:6">
      <c r="A204" s="3">
        <v>1202</v>
      </c>
      <c r="B204" s="3" t="str">
        <f>VLOOKUP(A204,Dataset!A:L,2,FALSE)</f>
        <v>Amy Walker</v>
      </c>
      <c r="C204" s="3" t="str">
        <f>VLOOKUP(A204,Dataset!A:L,3,FALSE)</f>
        <v>Accessories</v>
      </c>
      <c r="D204" s="3" t="str">
        <f>VLOOKUP(A204,Dataset!A:L,4,FALSE)</f>
        <v>Sunglasses</v>
      </c>
      <c r="E204" s="3">
        <f>VLOOKUP(A204,Dataset!A:L,8,FALSE)</f>
        <v>0</v>
      </c>
      <c r="F204" s="3">
        <f>VLOOKUP(A204,Dataset!A:L,12,FALSE)</f>
        <v>-207.53</v>
      </c>
    </row>
    <row r="205" spans="1:6">
      <c r="A205" s="3">
        <v>1203</v>
      </c>
      <c r="B205" s="3" t="str">
        <f>VLOOKUP(A205,Dataset!A:L,2,FALSE)</f>
        <v>Amy Gonzales</v>
      </c>
      <c r="C205" s="3" t="str">
        <f>VLOOKUP(A205,Dataset!A:L,3,FALSE)</f>
        <v>T-Shirts</v>
      </c>
      <c r="D205" s="3" t="str">
        <f>VLOOKUP(A205,Dataset!A:L,4,FALSE)</f>
        <v>Crop Top</v>
      </c>
      <c r="E205" s="3">
        <f>VLOOKUP(A205,Dataset!A:L,8,FALSE)</f>
        <v>0</v>
      </c>
      <c r="F205" s="3">
        <f>VLOOKUP(A205,Dataset!A:L,12,FALSE)</f>
        <v>657.59</v>
      </c>
    </row>
    <row r="206" spans="1:6">
      <c r="A206" s="3">
        <v>1204</v>
      </c>
      <c r="B206" s="3" t="str">
        <f>VLOOKUP(A206,Dataset!A:L,2,FALSE)</f>
        <v>David Parker</v>
      </c>
      <c r="C206" s="3" t="str">
        <f>VLOOKUP(A206,Dataset!A:L,3,FALSE)</f>
        <v>Shoes</v>
      </c>
      <c r="D206" s="3" t="str">
        <f>VLOOKUP(A206,Dataset!A:L,4,FALSE)</f>
        <v>Slip-ons</v>
      </c>
      <c r="E206" s="3">
        <f>VLOOKUP(A206,Dataset!A:L,8,FALSE)</f>
        <v>0</v>
      </c>
      <c r="F206" s="3">
        <f>VLOOKUP(A206,Dataset!A:L,12,FALSE)</f>
        <v>1867.53</v>
      </c>
    </row>
    <row r="207" spans="1:6">
      <c r="A207" s="3">
        <v>1205</v>
      </c>
      <c r="B207" s="3" t="str">
        <f>VLOOKUP(A207,Dataset!A:L,2,FALSE)</f>
        <v>Jennifer Williams</v>
      </c>
      <c r="C207" s="3" t="str">
        <f>VLOOKUP(A207,Dataset!A:L,3,FALSE)</f>
        <v>Jeans</v>
      </c>
      <c r="D207" s="3" t="str">
        <f>VLOOKUP(A207,Dataset!A:L,4,FALSE)</f>
        <v>Slim Fit Jeans</v>
      </c>
      <c r="E207" s="3">
        <f>VLOOKUP(A207,Dataset!A:L,8,FALSE)</f>
        <v>0</v>
      </c>
      <c r="F207" s="3">
        <f>VLOOKUP(A207,Dataset!A:L,12,FALSE)</f>
        <v>-24.51</v>
      </c>
    </row>
    <row r="208" spans="1:6">
      <c r="A208" s="3">
        <v>1206</v>
      </c>
      <c r="B208" s="3" t="str">
        <f>VLOOKUP(A208,Dataset!A:L,2,FALSE)</f>
        <v>Charles White</v>
      </c>
      <c r="C208" s="3" t="str">
        <f>VLOOKUP(A208,Dataset!A:L,3,FALSE)</f>
        <v>T-Shirts</v>
      </c>
      <c r="D208" s="3" t="str">
        <f>VLOOKUP(A208,Dataset!A:L,4,FALSE)</f>
        <v>Classic Tee</v>
      </c>
      <c r="E208" s="3">
        <f>VLOOKUP(A208,Dataset!A:L,8,FALSE)</f>
        <v>0</v>
      </c>
      <c r="F208" s="3">
        <f>VLOOKUP(A208,Dataset!A:L,12,FALSE)</f>
        <v>2472.2399999999998</v>
      </c>
    </row>
    <row r="209" spans="1:6">
      <c r="A209" s="3">
        <v>1207</v>
      </c>
      <c r="B209" s="3" t="str">
        <f>VLOOKUP(A209,Dataset!A:L,2,FALSE)</f>
        <v>Jerome Richardson</v>
      </c>
      <c r="C209" s="3" t="str">
        <f>VLOOKUP(A209,Dataset!A:L,3,FALSE)</f>
        <v>Jeans</v>
      </c>
      <c r="D209" s="3" t="str">
        <f>VLOOKUP(A209,Dataset!A:L,4,FALSE)</f>
        <v>Straight Cut</v>
      </c>
      <c r="E209" s="3">
        <f>VLOOKUP(A209,Dataset!A:L,8,FALSE)</f>
        <v>0</v>
      </c>
      <c r="F209" s="3">
        <f>VLOOKUP(A209,Dataset!A:L,12,FALSE)</f>
        <v>945.7</v>
      </c>
    </row>
    <row r="210" spans="1:6">
      <c r="A210" s="3">
        <v>1208</v>
      </c>
      <c r="B210" s="3" t="str">
        <f>VLOOKUP(A210,Dataset!A:L,2,FALSE)</f>
        <v>Jean Yoder</v>
      </c>
      <c r="C210" s="3" t="str">
        <f>VLOOKUP(A210,Dataset!A:L,3,FALSE)</f>
        <v>Jackets</v>
      </c>
      <c r="D210" s="3" t="str">
        <f>VLOOKUP(A210,Dataset!A:L,4,FALSE)</f>
        <v>Denim Jacket</v>
      </c>
      <c r="E210" s="3">
        <f>VLOOKUP(A210,Dataset!A:L,8,FALSE)</f>
        <v>0</v>
      </c>
      <c r="F210" s="3">
        <f>VLOOKUP(A210,Dataset!A:L,12,FALSE)</f>
        <v>648.73</v>
      </c>
    </row>
    <row r="211" spans="1:6">
      <c r="A211" s="3">
        <v>1209</v>
      </c>
      <c r="B211" s="3" t="str">
        <f>VLOOKUP(A211,Dataset!A:L,2,FALSE)</f>
        <v>Theodore Yang</v>
      </c>
      <c r="C211" s="3" t="str">
        <f>VLOOKUP(A211,Dataset!A:L,3,FALSE)</f>
        <v>Accessories</v>
      </c>
      <c r="D211" s="3" t="str">
        <f>VLOOKUP(A211,Dataset!A:L,4,FALSE)</f>
        <v>Watches</v>
      </c>
      <c r="E211" s="3">
        <f>VLOOKUP(A211,Dataset!A:L,8,FALSE)</f>
        <v>0</v>
      </c>
      <c r="F211" s="3">
        <f>VLOOKUP(A211,Dataset!A:L,12,FALSE)</f>
        <v>1447.79</v>
      </c>
    </row>
    <row r="212" spans="1:6">
      <c r="A212" s="3">
        <v>1210</v>
      </c>
      <c r="B212" s="3" t="str">
        <f>VLOOKUP(A212,Dataset!A:L,2,FALSE)</f>
        <v>Rebecca Grant</v>
      </c>
      <c r="C212" s="3" t="str">
        <f>VLOOKUP(A212,Dataset!A:L,3,FALSE)</f>
        <v>Accessories</v>
      </c>
      <c r="D212" s="3" t="str">
        <f>VLOOKUP(A212,Dataset!A:L,4,FALSE)</f>
        <v>Watches</v>
      </c>
      <c r="E212" s="3">
        <f>VLOOKUP(A212,Dataset!A:L,8,FALSE)</f>
        <v>0</v>
      </c>
      <c r="F212" s="3">
        <f>VLOOKUP(A212,Dataset!A:L,12,FALSE)</f>
        <v>2179.54</v>
      </c>
    </row>
    <row r="213" spans="1:6">
      <c r="A213" s="3">
        <v>1211</v>
      </c>
      <c r="B213" s="3" t="str">
        <f>VLOOKUP(A213,Dataset!A:L,2,FALSE)</f>
        <v>Kelli Young</v>
      </c>
      <c r="C213" s="3" t="str">
        <f>VLOOKUP(A213,Dataset!A:L,3,FALSE)</f>
        <v>Jeans</v>
      </c>
      <c r="D213" s="3" t="str">
        <f>VLOOKUP(A213,Dataset!A:L,4,FALSE)</f>
        <v>Ripped Denim</v>
      </c>
      <c r="E213" s="3">
        <f>VLOOKUP(A213,Dataset!A:L,8,FALSE)</f>
        <v>0</v>
      </c>
      <c r="F213" s="3">
        <f>VLOOKUP(A213,Dataset!A:L,12,FALSE)</f>
        <v>2783.91</v>
      </c>
    </row>
    <row r="214" spans="1:6">
      <c r="A214" s="3">
        <v>1212</v>
      </c>
      <c r="B214" s="3" t="str">
        <f>VLOOKUP(A214,Dataset!A:L,2,FALSE)</f>
        <v>Bradley Quinn</v>
      </c>
      <c r="C214" s="3" t="str">
        <f>VLOOKUP(A214,Dataset!A:L,3,FALSE)</f>
        <v>Shoes</v>
      </c>
      <c r="D214" s="3" t="str">
        <f>VLOOKUP(A214,Dataset!A:L,4,FALSE)</f>
        <v>Slip-ons</v>
      </c>
      <c r="E214" s="3">
        <f>VLOOKUP(A214,Dataset!A:L,8,FALSE)</f>
        <v>0</v>
      </c>
      <c r="F214" s="3">
        <f>VLOOKUP(A214,Dataset!A:L,12,FALSE)</f>
        <v>-656.35</v>
      </c>
    </row>
    <row r="215" spans="1:6">
      <c r="A215" s="3">
        <v>1213</v>
      </c>
      <c r="B215" s="3" t="str">
        <f>VLOOKUP(A215,Dataset!A:L,2,FALSE)</f>
        <v>Darrell Reynolds</v>
      </c>
      <c r="C215" s="3" t="str">
        <f>VLOOKUP(A215,Dataset!A:L,3,FALSE)</f>
        <v>T-Shirts</v>
      </c>
      <c r="D215" s="3" t="str">
        <f>VLOOKUP(A215,Dataset!A:L,4,FALSE)</f>
        <v>Classic Tee</v>
      </c>
      <c r="E215" s="3">
        <f>VLOOKUP(A215,Dataset!A:L,8,FALSE)</f>
        <v>0</v>
      </c>
      <c r="F215" s="3">
        <f>VLOOKUP(A215,Dataset!A:L,12,FALSE)</f>
        <v>1093.98</v>
      </c>
    </row>
    <row r="216" spans="1:6">
      <c r="A216" s="3">
        <v>1214</v>
      </c>
      <c r="B216" s="3" t="str">
        <f>VLOOKUP(A216,Dataset!A:L,2,FALSE)</f>
        <v>Alicia Hernandez</v>
      </c>
      <c r="C216" s="3" t="str">
        <f>VLOOKUP(A216,Dataset!A:L,3,FALSE)</f>
        <v>Jackets</v>
      </c>
      <c r="D216" s="3" t="str">
        <f>VLOOKUP(A216,Dataset!A:L,4,FALSE)</f>
        <v>Leather Jacket</v>
      </c>
      <c r="E216" s="3">
        <f>VLOOKUP(A216,Dataset!A:L,8,FALSE)</f>
        <v>0</v>
      </c>
      <c r="F216" s="3">
        <f>VLOOKUP(A216,Dataset!A:L,12,FALSE)</f>
        <v>1851.89</v>
      </c>
    </row>
    <row r="217" spans="1:6">
      <c r="A217" s="3">
        <v>1215</v>
      </c>
      <c r="B217" s="3" t="str">
        <f>VLOOKUP(A217,Dataset!A:L,2,FALSE)</f>
        <v>Melanie Hoffman</v>
      </c>
      <c r="C217" s="3" t="str">
        <f>VLOOKUP(A217,Dataset!A:L,3,FALSE)</f>
        <v>T-Shirts</v>
      </c>
      <c r="D217" s="3" t="str">
        <f>VLOOKUP(A217,Dataset!A:L,4,FALSE)</f>
        <v>Classic Tee</v>
      </c>
      <c r="E217" s="3">
        <f>VLOOKUP(A217,Dataset!A:L,8,FALSE)</f>
        <v>0</v>
      </c>
      <c r="F217" s="3">
        <f>VLOOKUP(A217,Dataset!A:L,12,FALSE)</f>
        <v>-266.99</v>
      </c>
    </row>
    <row r="218" spans="1:6">
      <c r="A218" s="3">
        <v>1216</v>
      </c>
      <c r="B218" s="3" t="str">
        <f>VLOOKUP(A218,Dataset!A:L,2,FALSE)</f>
        <v>Benjamin Dunlap</v>
      </c>
      <c r="C218" s="3" t="str">
        <f>VLOOKUP(A218,Dataset!A:L,3,FALSE)</f>
        <v>T-Shirts</v>
      </c>
      <c r="D218" s="3" t="str">
        <f>VLOOKUP(A218,Dataset!A:L,4,FALSE)</f>
        <v>Classic Tee</v>
      </c>
      <c r="E218" s="3">
        <f>VLOOKUP(A218,Dataset!A:L,8,FALSE)</f>
        <v>0</v>
      </c>
      <c r="F218" s="3">
        <f>VLOOKUP(A218,Dataset!A:L,12,FALSE)</f>
        <v>2986.8</v>
      </c>
    </row>
    <row r="219" spans="1:6">
      <c r="A219" s="3">
        <v>1217</v>
      </c>
      <c r="B219" s="3" t="str">
        <f>VLOOKUP(A219,Dataset!A:L,2,FALSE)</f>
        <v>Cheryl King</v>
      </c>
      <c r="C219" s="3" t="str">
        <f>VLOOKUP(A219,Dataset!A:L,3,FALSE)</f>
        <v>Jackets</v>
      </c>
      <c r="D219" s="3" t="str">
        <f>VLOOKUP(A219,Dataset!A:L,4,FALSE)</f>
        <v>Denim Jacket</v>
      </c>
      <c r="E219" s="3">
        <f>VLOOKUP(A219,Dataset!A:L,8,FALSE)</f>
        <v>0</v>
      </c>
      <c r="F219" s="3">
        <f>VLOOKUP(A219,Dataset!A:L,12,FALSE)</f>
        <v>17.309999999999999</v>
      </c>
    </row>
    <row r="220" spans="1:6">
      <c r="A220" s="3">
        <v>1218</v>
      </c>
      <c r="B220" s="3" t="str">
        <f>VLOOKUP(A220,Dataset!A:L,2,FALSE)</f>
        <v>Jamie Alexander</v>
      </c>
      <c r="C220" s="3" t="str">
        <f>VLOOKUP(A220,Dataset!A:L,3,FALSE)</f>
        <v>Dresses</v>
      </c>
      <c r="D220" s="3" t="str">
        <f>VLOOKUP(A220,Dataset!A:L,4,FALSE)</f>
        <v>Wrap Dress</v>
      </c>
      <c r="E220" s="3">
        <f>VLOOKUP(A220,Dataset!A:L,8,FALSE)</f>
        <v>3104.34</v>
      </c>
      <c r="F220" s="3">
        <f>VLOOKUP(A220,Dataset!A:L,12,FALSE)</f>
        <v>707.56</v>
      </c>
    </row>
    <row r="221" spans="1:6">
      <c r="A221" s="3">
        <v>1219</v>
      </c>
      <c r="B221" s="3" t="str">
        <f>VLOOKUP(A221,Dataset!A:L,2,FALSE)</f>
        <v>Kayla Crawford</v>
      </c>
      <c r="C221" s="3" t="str">
        <f>VLOOKUP(A221,Dataset!A:L,3,FALSE)</f>
        <v>Jeans</v>
      </c>
      <c r="D221" s="3" t="str">
        <f>VLOOKUP(A221,Dataset!A:L,4,FALSE)</f>
        <v>Straight Cut</v>
      </c>
      <c r="E221" s="3">
        <f>VLOOKUP(A221,Dataset!A:L,8,FALSE)</f>
        <v>0</v>
      </c>
      <c r="F221" s="3">
        <f>VLOOKUP(A221,Dataset!A:L,12,FALSE)</f>
        <v>2206</v>
      </c>
    </row>
    <row r="222" spans="1:6">
      <c r="A222" s="3">
        <v>1220</v>
      </c>
      <c r="B222" s="3" t="str">
        <f>VLOOKUP(A222,Dataset!A:L,2,FALSE)</f>
        <v>Amber Rivera</v>
      </c>
      <c r="C222" s="3" t="str">
        <f>VLOOKUP(A222,Dataset!A:L,3,FALSE)</f>
        <v>T-Shirts</v>
      </c>
      <c r="D222" s="3" t="str">
        <f>VLOOKUP(A222,Dataset!A:L,4,FALSE)</f>
        <v>Oversized T-shirt</v>
      </c>
      <c r="E222" s="3">
        <f>VLOOKUP(A222,Dataset!A:L,8,FALSE)</f>
        <v>0</v>
      </c>
      <c r="F222" s="3">
        <f>VLOOKUP(A222,Dataset!A:L,12,FALSE)</f>
        <v>1598.22</v>
      </c>
    </row>
    <row r="223" spans="1:6">
      <c r="A223" s="3">
        <v>1221</v>
      </c>
      <c r="B223" s="3" t="str">
        <f>VLOOKUP(A223,Dataset!A:L,2,FALSE)</f>
        <v>Cody Mitchell</v>
      </c>
      <c r="C223" s="3" t="str">
        <f>VLOOKUP(A223,Dataset!A:L,3,FALSE)</f>
        <v>Accessories</v>
      </c>
      <c r="D223" s="3" t="str">
        <f>VLOOKUP(A223,Dataset!A:L,4,FALSE)</f>
        <v>Belts</v>
      </c>
      <c r="E223" s="3">
        <f>VLOOKUP(A223,Dataset!A:L,8,FALSE)</f>
        <v>0</v>
      </c>
      <c r="F223" s="3">
        <f>VLOOKUP(A223,Dataset!A:L,12,FALSE)</f>
        <v>898.67</v>
      </c>
    </row>
    <row r="224" spans="1:6">
      <c r="A224" s="3">
        <v>1222</v>
      </c>
      <c r="B224" s="3" t="str">
        <f>VLOOKUP(A224,Dataset!A:L,2,FALSE)</f>
        <v>Karen Pennington</v>
      </c>
      <c r="C224" s="3" t="str">
        <f>VLOOKUP(A224,Dataset!A:L,3,FALSE)</f>
        <v>T-Shirts</v>
      </c>
      <c r="D224" s="3" t="str">
        <f>VLOOKUP(A224,Dataset!A:L,4,FALSE)</f>
        <v>Classic Tee</v>
      </c>
      <c r="E224" s="3">
        <f>VLOOKUP(A224,Dataset!A:L,8,FALSE)</f>
        <v>0</v>
      </c>
      <c r="F224" s="3">
        <f>VLOOKUP(A224,Dataset!A:L,12,FALSE)</f>
        <v>1489.45</v>
      </c>
    </row>
    <row r="225" spans="1:6">
      <c r="A225" s="3">
        <v>1223</v>
      </c>
      <c r="B225" s="3" t="str">
        <f>VLOOKUP(A225,Dataset!A:L,2,FALSE)</f>
        <v>Nicholas Thompson</v>
      </c>
      <c r="C225" s="3" t="str">
        <f>VLOOKUP(A225,Dataset!A:L,3,FALSE)</f>
        <v>T-Shirts</v>
      </c>
      <c r="D225" s="3" t="str">
        <f>VLOOKUP(A225,Dataset!A:L,4,FALSE)</f>
        <v>Crop Top</v>
      </c>
      <c r="E225" s="3">
        <f>VLOOKUP(A225,Dataset!A:L,8,FALSE)</f>
        <v>0</v>
      </c>
      <c r="F225" s="3">
        <f>VLOOKUP(A225,Dataset!A:L,12,FALSE)</f>
        <v>-531.04999999999995</v>
      </c>
    </row>
    <row r="226" spans="1:6">
      <c r="A226" s="3">
        <v>1224</v>
      </c>
      <c r="B226" s="3" t="str">
        <f>VLOOKUP(A226,Dataset!A:L,2,FALSE)</f>
        <v>Shelby Lewis</v>
      </c>
      <c r="C226" s="3" t="str">
        <f>VLOOKUP(A226,Dataset!A:L,3,FALSE)</f>
        <v>Dresses</v>
      </c>
      <c r="D226" s="3" t="str">
        <f>VLOOKUP(A226,Dataset!A:L,4,FALSE)</f>
        <v>Wrap Dress</v>
      </c>
      <c r="E226" s="3">
        <f>VLOOKUP(A226,Dataset!A:L,8,FALSE)</f>
        <v>0</v>
      </c>
      <c r="F226" s="3">
        <f>VLOOKUP(A226,Dataset!A:L,12,FALSE)</f>
        <v>2219.56</v>
      </c>
    </row>
    <row r="227" spans="1:6">
      <c r="A227" s="3">
        <v>1225</v>
      </c>
      <c r="B227" s="3" t="str">
        <f>VLOOKUP(A227,Dataset!A:L,2,FALSE)</f>
        <v>Gregory Flores</v>
      </c>
      <c r="C227" s="3" t="str">
        <f>VLOOKUP(A227,Dataset!A:L,3,FALSE)</f>
        <v>Shoes</v>
      </c>
      <c r="D227" s="3" t="str">
        <f>VLOOKUP(A227,Dataset!A:L,4,FALSE)</f>
        <v>Loafers</v>
      </c>
      <c r="E227" s="3">
        <f>VLOOKUP(A227,Dataset!A:L,8,FALSE)</f>
        <v>70.319999999999993</v>
      </c>
      <c r="F227" s="3">
        <f>VLOOKUP(A227,Dataset!A:L,12,FALSE)</f>
        <v>1937.71</v>
      </c>
    </row>
    <row r="228" spans="1:6">
      <c r="A228" s="3">
        <v>1226</v>
      </c>
      <c r="B228" s="3" t="str">
        <f>VLOOKUP(A228,Dataset!A:L,2,FALSE)</f>
        <v>Jeffrey Haynes</v>
      </c>
      <c r="C228" s="3" t="str">
        <f>VLOOKUP(A228,Dataset!A:L,3,FALSE)</f>
        <v>Dresses</v>
      </c>
      <c r="D228" s="3" t="str">
        <f>VLOOKUP(A228,Dataset!A:L,4,FALSE)</f>
        <v>Bodycon</v>
      </c>
      <c r="E228" s="3">
        <f>VLOOKUP(A228,Dataset!A:L,8,FALSE)</f>
        <v>0</v>
      </c>
      <c r="F228" s="3">
        <f>VLOOKUP(A228,Dataset!A:L,12,FALSE)</f>
        <v>2806.56</v>
      </c>
    </row>
    <row r="229" spans="1:6">
      <c r="A229" s="3">
        <v>1227</v>
      </c>
      <c r="B229" s="3" t="str">
        <f>VLOOKUP(A229,Dataset!A:L,2,FALSE)</f>
        <v>Antonio Moses</v>
      </c>
      <c r="C229" s="3" t="str">
        <f>VLOOKUP(A229,Dataset!A:L,3,FALSE)</f>
        <v>Accessories</v>
      </c>
      <c r="D229" s="3" t="str">
        <f>VLOOKUP(A229,Dataset!A:L,4,FALSE)</f>
        <v>Sunglasses</v>
      </c>
      <c r="E229" s="3">
        <f>VLOOKUP(A229,Dataset!A:L,8,FALSE)</f>
        <v>0</v>
      </c>
      <c r="F229" s="3">
        <f>VLOOKUP(A229,Dataset!A:L,12,FALSE)</f>
        <v>2096.6799999999998</v>
      </c>
    </row>
    <row r="230" spans="1:6">
      <c r="A230" s="3">
        <v>1048</v>
      </c>
      <c r="B230" s="3" t="str">
        <f>VLOOKUP(A230,Dataset!A:L,2,FALSE)</f>
        <v>James Hughes</v>
      </c>
      <c r="C230" s="3" t="str">
        <f>VLOOKUP(A230,Dataset!A:L,3,FALSE)</f>
        <v>Jeans</v>
      </c>
      <c r="D230" s="3" t="str">
        <f>VLOOKUP(A230,Dataset!A:L,4,FALSE)</f>
        <v>Straight Cut</v>
      </c>
      <c r="E230" s="3">
        <f>VLOOKUP(A230,Dataset!A:L,8,FALSE)</f>
        <v>0</v>
      </c>
      <c r="F230" s="3">
        <f>VLOOKUP(A230,Dataset!A:L,12,FALSE)</f>
        <v>2409.2600000000002</v>
      </c>
    </row>
    <row r="231" spans="1:6">
      <c r="A231" s="3">
        <v>1229</v>
      </c>
      <c r="B231" s="3" t="str">
        <f>VLOOKUP(A231,Dataset!A:L,2,FALSE)</f>
        <v>Allen Burton</v>
      </c>
      <c r="C231" s="3" t="str">
        <f>VLOOKUP(A231,Dataset!A:L,3,FALSE)</f>
        <v>Dresses</v>
      </c>
      <c r="D231" s="3" t="str">
        <f>VLOOKUP(A231,Dataset!A:L,4,FALSE)</f>
        <v>Bodycon</v>
      </c>
      <c r="E231" s="3">
        <f>VLOOKUP(A231,Dataset!A:L,8,FALSE)</f>
        <v>0</v>
      </c>
      <c r="F231" s="3">
        <f>VLOOKUP(A231,Dataset!A:L,12,FALSE)</f>
        <v>925.22</v>
      </c>
    </row>
    <row r="232" spans="1:6">
      <c r="A232" s="3">
        <v>1230</v>
      </c>
      <c r="B232" s="3" t="str">
        <f>VLOOKUP(A232,Dataset!A:L,2,FALSE)</f>
        <v>Adam Bennett</v>
      </c>
      <c r="C232" s="3" t="str">
        <f>VLOOKUP(A232,Dataset!A:L,3,FALSE)</f>
        <v>Accessories</v>
      </c>
      <c r="D232" s="3" t="str">
        <f>VLOOKUP(A232,Dataset!A:L,4,FALSE)</f>
        <v>Watches</v>
      </c>
      <c r="E232" s="3">
        <f>VLOOKUP(A232,Dataset!A:L,8,FALSE)</f>
        <v>0</v>
      </c>
      <c r="F232" s="3">
        <f>VLOOKUP(A232,Dataset!A:L,12,FALSE)</f>
        <v>2725.11</v>
      </c>
    </row>
    <row r="233" spans="1:6">
      <c r="A233" s="3">
        <v>1231</v>
      </c>
      <c r="B233" s="3" t="str">
        <f>VLOOKUP(A233,Dataset!A:L,2,FALSE)</f>
        <v>Ashley Stevens</v>
      </c>
      <c r="C233" s="3" t="str">
        <f>VLOOKUP(A233,Dataset!A:L,3,FALSE)</f>
        <v>Shoes</v>
      </c>
      <c r="D233" s="3" t="str">
        <f>VLOOKUP(A233,Dataset!A:L,4,FALSE)</f>
        <v>Slip-ons</v>
      </c>
      <c r="E233" s="3">
        <f>VLOOKUP(A233,Dataset!A:L,8,FALSE)</f>
        <v>0</v>
      </c>
      <c r="F233" s="3">
        <f>VLOOKUP(A233,Dataset!A:L,12,FALSE)</f>
        <v>1393.69</v>
      </c>
    </row>
    <row r="234" spans="1:6">
      <c r="A234" s="3">
        <v>1232</v>
      </c>
      <c r="B234" s="3" t="str">
        <f>VLOOKUP(A234,Dataset!A:L,2,FALSE)</f>
        <v>Sierra Miller</v>
      </c>
      <c r="C234" s="3" t="str">
        <f>VLOOKUP(A234,Dataset!A:L,3,FALSE)</f>
        <v>Shoes</v>
      </c>
      <c r="D234" s="3" t="str">
        <f>VLOOKUP(A234,Dataset!A:L,4,FALSE)</f>
        <v>Sneakers</v>
      </c>
      <c r="E234" s="3">
        <f>VLOOKUP(A234,Dataset!A:L,8,FALSE)</f>
        <v>0</v>
      </c>
      <c r="F234" s="3">
        <f>VLOOKUP(A234,Dataset!A:L,12,FALSE)</f>
        <v>1494.67</v>
      </c>
    </row>
    <row r="235" spans="1:6">
      <c r="A235" s="3">
        <v>1233</v>
      </c>
      <c r="B235" s="3" t="str">
        <f>VLOOKUP(A235,Dataset!A:L,2,FALSE)</f>
        <v>Katie Garcia</v>
      </c>
      <c r="C235" s="3" t="str">
        <f>VLOOKUP(A235,Dataset!A:L,3,FALSE)</f>
        <v>Jackets</v>
      </c>
      <c r="D235" s="3" t="str">
        <f>VLOOKUP(A235,Dataset!A:L,4,FALSE)</f>
        <v>Puffer Coat</v>
      </c>
      <c r="E235" s="3">
        <f>VLOOKUP(A235,Dataset!A:L,8,FALSE)</f>
        <v>0</v>
      </c>
      <c r="F235" s="3">
        <f>VLOOKUP(A235,Dataset!A:L,12,FALSE)</f>
        <v>2237.2399999999998</v>
      </c>
    </row>
    <row r="236" spans="1:6">
      <c r="A236" s="3">
        <v>1234</v>
      </c>
      <c r="B236" s="3" t="str">
        <f>VLOOKUP(A236,Dataset!A:L,2,FALSE)</f>
        <v>Timothy Goodman</v>
      </c>
      <c r="C236" s="3" t="str">
        <f>VLOOKUP(A236,Dataset!A:L,3,FALSE)</f>
        <v>Jeans</v>
      </c>
      <c r="D236" s="3" t="str">
        <f>VLOOKUP(A236,Dataset!A:L,4,FALSE)</f>
        <v>Straight Cut</v>
      </c>
      <c r="E236" s="3">
        <f>VLOOKUP(A236,Dataset!A:L,8,FALSE)</f>
        <v>0</v>
      </c>
      <c r="F236" s="3">
        <f>VLOOKUP(A236,Dataset!A:L,12,FALSE)</f>
        <v>110.58</v>
      </c>
    </row>
    <row r="237" spans="1:6">
      <c r="A237" s="3">
        <v>1235</v>
      </c>
      <c r="B237" s="3" t="str">
        <f>VLOOKUP(A237,Dataset!A:L,2,FALSE)</f>
        <v>Rebecca Drake</v>
      </c>
      <c r="C237" s="3" t="str">
        <f>VLOOKUP(A237,Dataset!A:L,3,FALSE)</f>
        <v>Jackets</v>
      </c>
      <c r="D237" s="3" t="str">
        <f>VLOOKUP(A237,Dataset!A:L,4,FALSE)</f>
        <v>Bomber Jacket</v>
      </c>
      <c r="E237" s="3">
        <f>VLOOKUP(A237,Dataset!A:L,8,FALSE)</f>
        <v>0</v>
      </c>
      <c r="F237" s="3">
        <f>VLOOKUP(A237,Dataset!A:L,12,FALSE)</f>
        <v>-403.94</v>
      </c>
    </row>
    <row r="238" spans="1:6">
      <c r="A238" s="3">
        <v>1036</v>
      </c>
      <c r="B238" s="3" t="str">
        <f>VLOOKUP(A238,Dataset!A:L,2,FALSE)</f>
        <v>Connie Cunningham</v>
      </c>
      <c r="C238" s="3" t="str">
        <f>VLOOKUP(A238,Dataset!A:L,3,FALSE)</f>
        <v>T-Shirts</v>
      </c>
      <c r="D238" s="3" t="str">
        <f>VLOOKUP(A238,Dataset!A:L,4,FALSE)</f>
        <v>Graphic Tee</v>
      </c>
      <c r="E238" s="3">
        <f>VLOOKUP(A238,Dataset!A:L,8,FALSE)</f>
        <v>0</v>
      </c>
      <c r="F238" s="3">
        <f>VLOOKUP(A238,Dataset!A:L,12,FALSE)</f>
        <v>1213.95</v>
      </c>
    </row>
    <row r="239" spans="1:6">
      <c r="A239" s="3">
        <v>1237</v>
      </c>
      <c r="B239" s="3" t="str">
        <f>VLOOKUP(A239,Dataset!A:L,2,FALSE)</f>
        <v>Matthew Holloway</v>
      </c>
      <c r="C239" s="3" t="str">
        <f>VLOOKUP(A239,Dataset!A:L,3,FALSE)</f>
        <v>T-Shirts</v>
      </c>
      <c r="D239" s="3" t="str">
        <f>VLOOKUP(A239,Dataset!A:L,4,FALSE)</f>
        <v>Classic Tee</v>
      </c>
      <c r="E239" s="3">
        <f>VLOOKUP(A239,Dataset!A:L,8,FALSE)</f>
        <v>0</v>
      </c>
      <c r="F239" s="3">
        <f>VLOOKUP(A239,Dataset!A:L,12,FALSE)</f>
        <v>-465.98</v>
      </c>
    </row>
    <row r="240" spans="1:6">
      <c r="A240" s="3">
        <v>1238</v>
      </c>
      <c r="B240" s="3" t="str">
        <f>VLOOKUP(A240,Dataset!A:L,2,FALSE)</f>
        <v>Scott Weeks</v>
      </c>
      <c r="C240" s="3" t="str">
        <f>VLOOKUP(A240,Dataset!A:L,3,FALSE)</f>
        <v>Shoes</v>
      </c>
      <c r="D240" s="3" t="str">
        <f>VLOOKUP(A240,Dataset!A:L,4,FALSE)</f>
        <v>Slip-ons</v>
      </c>
      <c r="E240" s="3">
        <f>VLOOKUP(A240,Dataset!A:L,8,FALSE)</f>
        <v>0</v>
      </c>
      <c r="F240" s="3">
        <f>VLOOKUP(A240,Dataset!A:L,12,FALSE)</f>
        <v>2742.61</v>
      </c>
    </row>
    <row r="241" spans="1:6">
      <c r="A241" s="3">
        <v>1239</v>
      </c>
      <c r="B241" s="3" t="str">
        <f>VLOOKUP(A241,Dataset!A:L,2,FALSE)</f>
        <v>Karina Davis</v>
      </c>
      <c r="C241" s="3" t="str">
        <f>VLOOKUP(A241,Dataset!A:L,3,FALSE)</f>
        <v>T-Shirts</v>
      </c>
      <c r="D241" s="3" t="str">
        <f>VLOOKUP(A241,Dataset!A:L,4,FALSE)</f>
        <v>Graphic Tee</v>
      </c>
      <c r="E241" s="3">
        <f>VLOOKUP(A241,Dataset!A:L,8,FALSE)</f>
        <v>0</v>
      </c>
      <c r="F241" s="3">
        <f>VLOOKUP(A241,Dataset!A:L,12,FALSE)</f>
        <v>1097.8800000000001</v>
      </c>
    </row>
    <row r="242" spans="1:6">
      <c r="A242" s="3">
        <v>1240</v>
      </c>
      <c r="B242" s="3" t="str">
        <f>VLOOKUP(A242,Dataset!A:L,2,FALSE)</f>
        <v>Melanie Ramirez</v>
      </c>
      <c r="C242" s="3" t="str">
        <f>VLOOKUP(A242,Dataset!A:L,3,FALSE)</f>
        <v>Dresses</v>
      </c>
      <c r="D242" s="3" t="str">
        <f>VLOOKUP(A242,Dataset!A:L,4,FALSE)</f>
        <v>Casual Midi</v>
      </c>
      <c r="E242" s="3">
        <f>VLOOKUP(A242,Dataset!A:L,8,FALSE)</f>
        <v>0</v>
      </c>
      <c r="F242" s="3">
        <f>VLOOKUP(A242,Dataset!A:L,12,FALSE)</f>
        <v>2625.44</v>
      </c>
    </row>
    <row r="243" spans="1:6">
      <c r="A243" s="3">
        <v>1241</v>
      </c>
      <c r="B243" s="3" t="str">
        <f>VLOOKUP(A243,Dataset!A:L,2,FALSE)</f>
        <v>Caroline Thomas</v>
      </c>
      <c r="C243" s="3" t="str">
        <f>VLOOKUP(A243,Dataset!A:L,3,FALSE)</f>
        <v>Jeans</v>
      </c>
      <c r="D243" s="3" t="str">
        <f>VLOOKUP(A243,Dataset!A:L,4,FALSE)</f>
        <v>Slim Fit Jeans</v>
      </c>
      <c r="E243" s="3">
        <f>VLOOKUP(A243,Dataset!A:L,8,FALSE)</f>
        <v>0</v>
      </c>
      <c r="F243" s="3">
        <f>VLOOKUP(A243,Dataset!A:L,12,FALSE)</f>
        <v>2814.82</v>
      </c>
    </row>
    <row r="244" spans="1:6">
      <c r="A244" s="3">
        <v>1242</v>
      </c>
      <c r="B244" s="3" t="str">
        <f>VLOOKUP(A244,Dataset!A:L,2,FALSE)</f>
        <v>Pamela Navarro</v>
      </c>
      <c r="C244" s="3" t="str">
        <f>VLOOKUP(A244,Dataset!A:L,3,FALSE)</f>
        <v>Jeans</v>
      </c>
      <c r="D244" s="3" t="str">
        <f>VLOOKUP(A244,Dataset!A:L,4,FALSE)</f>
        <v>Ripped Denim</v>
      </c>
      <c r="E244" s="3">
        <f>VLOOKUP(A244,Dataset!A:L,8,FALSE)</f>
        <v>0</v>
      </c>
      <c r="F244" s="3">
        <f>VLOOKUP(A244,Dataset!A:L,12,FALSE)</f>
        <v>1576.74</v>
      </c>
    </row>
    <row r="245" spans="1:6">
      <c r="A245" s="3">
        <v>1243</v>
      </c>
      <c r="B245" s="3" t="str">
        <f>VLOOKUP(A245,Dataset!A:L,2,FALSE)</f>
        <v>Jack Mccoy</v>
      </c>
      <c r="C245" s="3" t="str">
        <f>VLOOKUP(A245,Dataset!A:L,3,FALSE)</f>
        <v>Accessories</v>
      </c>
      <c r="D245" s="3" t="str">
        <f>VLOOKUP(A245,Dataset!A:L,4,FALSE)</f>
        <v>Caps</v>
      </c>
      <c r="E245" s="3">
        <f>VLOOKUP(A245,Dataset!A:L,8,FALSE)</f>
        <v>0</v>
      </c>
      <c r="F245" s="3">
        <f>VLOOKUP(A245,Dataset!A:L,12,FALSE)</f>
        <v>779.51</v>
      </c>
    </row>
    <row r="246" spans="1:6">
      <c r="A246" s="3">
        <v>1244</v>
      </c>
      <c r="B246" s="3" t="str">
        <f>VLOOKUP(A246,Dataset!A:L,2,FALSE)</f>
        <v>Ashley Walker</v>
      </c>
      <c r="C246" s="3" t="str">
        <f>VLOOKUP(A246,Dataset!A:L,3,FALSE)</f>
        <v>Dresses</v>
      </c>
      <c r="D246" s="3" t="str">
        <f>VLOOKUP(A246,Dataset!A:L,4,FALSE)</f>
        <v>Maxi Dress</v>
      </c>
      <c r="E246" s="3">
        <f>VLOOKUP(A246,Dataset!A:L,8,FALSE)</f>
        <v>0</v>
      </c>
      <c r="F246" s="3">
        <f>VLOOKUP(A246,Dataset!A:L,12,FALSE)</f>
        <v>2574.7600000000002</v>
      </c>
    </row>
    <row r="247" spans="1:6">
      <c r="A247" s="3">
        <v>1245</v>
      </c>
      <c r="B247" s="3" t="str">
        <f>VLOOKUP(A247,Dataset!A:L,2,FALSE)</f>
        <v>Christopher Mcknight</v>
      </c>
      <c r="C247" s="3" t="str">
        <f>VLOOKUP(A247,Dataset!A:L,3,FALSE)</f>
        <v>T-Shirts</v>
      </c>
      <c r="D247" s="3" t="str">
        <f>VLOOKUP(A247,Dataset!A:L,4,FALSE)</f>
        <v>Classic Tee</v>
      </c>
      <c r="E247" s="3">
        <f>VLOOKUP(A247,Dataset!A:L,8,FALSE)</f>
        <v>0</v>
      </c>
      <c r="F247" s="3">
        <f>VLOOKUP(A247,Dataset!A:L,12,FALSE)</f>
        <v>1076.3399999999999</v>
      </c>
    </row>
    <row r="248" spans="1:6">
      <c r="A248" s="3">
        <v>1246</v>
      </c>
      <c r="B248" s="3" t="str">
        <f>VLOOKUP(A248,Dataset!A:L,2,FALSE)</f>
        <v>Dr. Derrick Scott</v>
      </c>
      <c r="C248" s="3" t="str">
        <f>VLOOKUP(A248,Dataset!A:L,3,FALSE)</f>
        <v>Dresses</v>
      </c>
      <c r="D248" s="3" t="str">
        <f>VLOOKUP(A248,Dataset!A:L,4,FALSE)</f>
        <v>Maxi Dress</v>
      </c>
      <c r="E248" s="3">
        <f>VLOOKUP(A248,Dataset!A:L,8,FALSE)</f>
        <v>0</v>
      </c>
      <c r="F248" s="3">
        <f>VLOOKUP(A248,Dataset!A:L,12,FALSE)</f>
        <v>733.8</v>
      </c>
    </row>
    <row r="249" spans="1:6">
      <c r="A249" s="3">
        <v>1247</v>
      </c>
      <c r="B249" s="3" t="str">
        <f>VLOOKUP(A249,Dataset!A:L,2,FALSE)</f>
        <v>Jared Tate</v>
      </c>
      <c r="C249" s="3" t="str">
        <f>VLOOKUP(A249,Dataset!A:L,3,FALSE)</f>
        <v>T-Shirts</v>
      </c>
      <c r="D249" s="3" t="str">
        <f>VLOOKUP(A249,Dataset!A:L,4,FALSE)</f>
        <v>Crop Top</v>
      </c>
      <c r="E249" s="3">
        <f>VLOOKUP(A249,Dataset!A:L,8,FALSE)</f>
        <v>0</v>
      </c>
      <c r="F249" s="3">
        <f>VLOOKUP(A249,Dataset!A:L,12,FALSE)</f>
        <v>1605.97</v>
      </c>
    </row>
    <row r="250" spans="1:6">
      <c r="A250" s="3">
        <v>1248</v>
      </c>
      <c r="B250" s="3" t="str">
        <f>VLOOKUP(A250,Dataset!A:L,2,FALSE)</f>
        <v>Edward Morgan</v>
      </c>
      <c r="C250" s="3" t="str">
        <f>VLOOKUP(A250,Dataset!A:L,3,FALSE)</f>
        <v>Accessories</v>
      </c>
      <c r="D250" s="3" t="str">
        <f>VLOOKUP(A250,Dataset!A:L,4,FALSE)</f>
        <v>Watches</v>
      </c>
      <c r="E250" s="3">
        <f>VLOOKUP(A250,Dataset!A:L,8,FALSE)</f>
        <v>0</v>
      </c>
      <c r="F250" s="3">
        <f>VLOOKUP(A250,Dataset!A:L,12,FALSE)</f>
        <v>397.41</v>
      </c>
    </row>
    <row r="251" spans="1:6">
      <c r="A251" s="3">
        <v>1249</v>
      </c>
      <c r="B251" s="3" t="str">
        <f>VLOOKUP(A251,Dataset!A:L,2,FALSE)</f>
        <v>Tim Bauer</v>
      </c>
      <c r="C251" s="3" t="str">
        <f>VLOOKUP(A251,Dataset!A:L,3,FALSE)</f>
        <v>Accessories</v>
      </c>
      <c r="D251" s="3" t="str">
        <f>VLOOKUP(A251,Dataset!A:L,4,FALSE)</f>
        <v>Caps</v>
      </c>
      <c r="E251" s="3">
        <f>VLOOKUP(A251,Dataset!A:L,8,FALSE)</f>
        <v>0</v>
      </c>
      <c r="F251" s="3">
        <f>VLOOKUP(A251,Dataset!A:L,12,FALSE)</f>
        <v>809.89</v>
      </c>
    </row>
    <row r="252" spans="1:6">
      <c r="A252" s="3">
        <v>1250</v>
      </c>
      <c r="B252" s="3" t="str">
        <f>VLOOKUP(A252,Dataset!A:L,2,FALSE)</f>
        <v>Anthony Lee</v>
      </c>
      <c r="C252" s="3" t="str">
        <f>VLOOKUP(A252,Dataset!A:L,3,FALSE)</f>
        <v>Shoes</v>
      </c>
      <c r="D252" s="3" t="str">
        <f>VLOOKUP(A252,Dataset!A:L,4,FALSE)</f>
        <v>Slip-ons</v>
      </c>
      <c r="E252" s="3">
        <f>VLOOKUP(A252,Dataset!A:L,8,FALSE)</f>
        <v>0</v>
      </c>
      <c r="F252" s="3">
        <f>VLOOKUP(A252,Dataset!A:L,12,FALSE)</f>
        <v>1653.07</v>
      </c>
    </row>
    <row r="253" spans="1:6">
      <c r="A253" s="3">
        <v>1251</v>
      </c>
      <c r="B253" s="3" t="str">
        <f>VLOOKUP(A253,Dataset!A:L,2,FALSE)</f>
        <v>Hailey Sullivan</v>
      </c>
      <c r="C253" s="3" t="str">
        <f>VLOOKUP(A253,Dataset!A:L,3,FALSE)</f>
        <v>Dresses</v>
      </c>
      <c r="D253" s="3" t="str">
        <f>VLOOKUP(A253,Dataset!A:L,4,FALSE)</f>
        <v>Casual Midi</v>
      </c>
      <c r="E253" s="3">
        <f>VLOOKUP(A253,Dataset!A:L,8,FALSE)</f>
        <v>3873.12</v>
      </c>
      <c r="F253" s="3">
        <f>VLOOKUP(A253,Dataset!A:L,12,FALSE)</f>
        <v>578.37</v>
      </c>
    </row>
    <row r="254" spans="1:6">
      <c r="A254" s="3">
        <v>1252</v>
      </c>
      <c r="B254" s="3" t="str">
        <f>VLOOKUP(A254,Dataset!A:L,2,FALSE)</f>
        <v>Brandy Clark</v>
      </c>
      <c r="C254" s="3" t="str">
        <f>VLOOKUP(A254,Dataset!A:L,3,FALSE)</f>
        <v>T-Shirts</v>
      </c>
      <c r="D254" s="3" t="str">
        <f>VLOOKUP(A254,Dataset!A:L,4,FALSE)</f>
        <v>Classic Tee</v>
      </c>
      <c r="E254" s="3">
        <f>VLOOKUP(A254,Dataset!A:L,8,FALSE)</f>
        <v>1179.73</v>
      </c>
      <c r="F254" s="3">
        <f>VLOOKUP(A254,Dataset!A:L,12,FALSE)</f>
        <v>1484.7</v>
      </c>
    </row>
    <row r="255" spans="1:6">
      <c r="A255" s="3">
        <v>1253</v>
      </c>
      <c r="B255" s="3" t="str">
        <f>VLOOKUP(A255,Dataset!A:L,2,FALSE)</f>
        <v>Carlos Anderson</v>
      </c>
      <c r="C255" s="3" t="str">
        <f>VLOOKUP(A255,Dataset!A:L,3,FALSE)</f>
        <v>Dresses</v>
      </c>
      <c r="D255" s="3" t="str">
        <f>VLOOKUP(A255,Dataset!A:L,4,FALSE)</f>
        <v>Wrap Dress</v>
      </c>
      <c r="E255" s="3">
        <f>VLOOKUP(A255,Dataset!A:L,8,FALSE)</f>
        <v>0</v>
      </c>
      <c r="F255" s="3">
        <f>VLOOKUP(A255,Dataset!A:L,12,FALSE)</f>
        <v>2512.63</v>
      </c>
    </row>
    <row r="256" spans="1:6">
      <c r="A256" s="3">
        <v>1254</v>
      </c>
      <c r="B256" s="3" t="str">
        <f>VLOOKUP(A256,Dataset!A:L,2,FALSE)</f>
        <v>Michael Henson</v>
      </c>
      <c r="C256" s="3" t="str">
        <f>VLOOKUP(A256,Dataset!A:L,3,FALSE)</f>
        <v>Shoes</v>
      </c>
      <c r="D256" s="3" t="str">
        <f>VLOOKUP(A256,Dataset!A:L,4,FALSE)</f>
        <v>Slip-ons</v>
      </c>
      <c r="E256" s="3">
        <f>VLOOKUP(A256,Dataset!A:L,8,FALSE)</f>
        <v>0</v>
      </c>
      <c r="F256" s="3">
        <f>VLOOKUP(A256,Dataset!A:L,12,FALSE)</f>
        <v>2418.9899999999998</v>
      </c>
    </row>
    <row r="257" spans="1:6">
      <c r="A257" s="3">
        <v>1255</v>
      </c>
      <c r="B257" s="3" t="str">
        <f>VLOOKUP(A257,Dataset!A:L,2,FALSE)</f>
        <v>Kim Campos</v>
      </c>
      <c r="C257" s="3" t="str">
        <f>VLOOKUP(A257,Dataset!A:L,3,FALSE)</f>
        <v>T-Shirts</v>
      </c>
      <c r="D257" s="3" t="str">
        <f>VLOOKUP(A257,Dataset!A:L,4,FALSE)</f>
        <v>Classic Tee</v>
      </c>
      <c r="E257" s="3">
        <f>VLOOKUP(A257,Dataset!A:L,8,FALSE)</f>
        <v>0</v>
      </c>
      <c r="F257" s="3">
        <f>VLOOKUP(A257,Dataset!A:L,12,FALSE)</f>
        <v>-706.09</v>
      </c>
    </row>
    <row r="258" spans="1:6">
      <c r="A258" s="3">
        <v>1256</v>
      </c>
      <c r="B258" s="3" t="str">
        <f>VLOOKUP(A258,Dataset!A:L,2,FALSE)</f>
        <v>Janet Cooley</v>
      </c>
      <c r="C258" s="3" t="str">
        <f>VLOOKUP(A258,Dataset!A:L,3,FALSE)</f>
        <v>Jackets</v>
      </c>
      <c r="D258" s="3" t="str">
        <f>VLOOKUP(A258,Dataset!A:L,4,FALSE)</f>
        <v>Bomber Jacket</v>
      </c>
      <c r="E258" s="3">
        <f>VLOOKUP(A258,Dataset!A:L,8,FALSE)</f>
        <v>0</v>
      </c>
      <c r="F258" s="3">
        <f>VLOOKUP(A258,Dataset!A:L,12,FALSE)</f>
        <v>2071.1</v>
      </c>
    </row>
    <row r="259" spans="1:6">
      <c r="A259" s="3">
        <v>1257</v>
      </c>
      <c r="B259" s="3" t="str">
        <f>VLOOKUP(A259,Dataset!A:L,2,FALSE)</f>
        <v>Mr. Matthew Gomez DDS</v>
      </c>
      <c r="C259" s="3" t="str">
        <f>VLOOKUP(A259,Dataset!A:L,3,FALSE)</f>
        <v>Jeans</v>
      </c>
      <c r="D259" s="3" t="str">
        <f>VLOOKUP(A259,Dataset!A:L,4,FALSE)</f>
        <v>Straight Cut</v>
      </c>
      <c r="E259" s="3">
        <f>VLOOKUP(A259,Dataset!A:L,8,FALSE)</f>
        <v>0</v>
      </c>
      <c r="F259" s="3">
        <f>VLOOKUP(A259,Dataset!A:L,12,FALSE)</f>
        <v>-83.19</v>
      </c>
    </row>
    <row r="260" spans="1:6">
      <c r="A260" s="3">
        <v>1258</v>
      </c>
      <c r="B260" s="3" t="str">
        <f>VLOOKUP(A260,Dataset!A:L,2,FALSE)</f>
        <v>Shane Gomez</v>
      </c>
      <c r="C260" s="3" t="str">
        <f>VLOOKUP(A260,Dataset!A:L,3,FALSE)</f>
        <v>Dresses</v>
      </c>
      <c r="D260" s="3" t="str">
        <f>VLOOKUP(A260,Dataset!A:L,4,FALSE)</f>
        <v>Bodycon</v>
      </c>
      <c r="E260" s="3">
        <f>VLOOKUP(A260,Dataset!A:L,8,FALSE)</f>
        <v>0</v>
      </c>
      <c r="F260" s="3">
        <f>VLOOKUP(A260,Dataset!A:L,12,FALSE)</f>
        <v>2636.96</v>
      </c>
    </row>
    <row r="261" spans="1:6">
      <c r="A261" s="3">
        <v>1259</v>
      </c>
      <c r="B261" s="3" t="str">
        <f>VLOOKUP(A261,Dataset!A:L,2,FALSE)</f>
        <v>Tyler Haney</v>
      </c>
      <c r="C261" s="3" t="str">
        <f>VLOOKUP(A261,Dataset!A:L,3,FALSE)</f>
        <v>Shoes</v>
      </c>
      <c r="D261" s="3" t="str">
        <f>VLOOKUP(A261,Dataset!A:L,4,FALSE)</f>
        <v>Boots</v>
      </c>
      <c r="E261" s="3">
        <f>VLOOKUP(A261,Dataset!A:L,8,FALSE)</f>
        <v>0</v>
      </c>
      <c r="F261" s="3">
        <f>VLOOKUP(A261,Dataset!A:L,12,FALSE)</f>
        <v>-830.5</v>
      </c>
    </row>
    <row r="262" spans="1:6">
      <c r="A262" s="3">
        <v>1260</v>
      </c>
      <c r="B262" s="3" t="str">
        <f>VLOOKUP(A262,Dataset!A:L,2,FALSE)</f>
        <v>Lindsay Haney</v>
      </c>
      <c r="C262" s="3" t="str">
        <f>VLOOKUP(A262,Dataset!A:L,3,FALSE)</f>
        <v>Dresses</v>
      </c>
      <c r="D262" s="3" t="str">
        <f>VLOOKUP(A262,Dataset!A:L,4,FALSE)</f>
        <v>Maxi Dress</v>
      </c>
      <c r="E262" s="3">
        <f>VLOOKUP(A262,Dataset!A:L,8,FALSE)</f>
        <v>0</v>
      </c>
      <c r="F262" s="3">
        <f>VLOOKUP(A262,Dataset!A:L,12,FALSE)</f>
        <v>-817.8</v>
      </c>
    </row>
    <row r="263" spans="1:6">
      <c r="A263" s="3">
        <v>1012</v>
      </c>
      <c r="B263" s="3" t="str">
        <f>VLOOKUP(A263,Dataset!A:L,2,FALSE)</f>
        <v>Valerie Hampton</v>
      </c>
      <c r="C263" s="3" t="str">
        <f>VLOOKUP(A263,Dataset!A:L,3,FALSE)</f>
        <v>Jeans</v>
      </c>
      <c r="D263" s="3" t="str">
        <f>VLOOKUP(A263,Dataset!A:L,4,FALSE)</f>
        <v>Straight Cut</v>
      </c>
      <c r="E263" s="3">
        <f>VLOOKUP(A263,Dataset!A:L,8,FALSE)</f>
        <v>0</v>
      </c>
      <c r="F263" s="3">
        <f>VLOOKUP(A263,Dataset!A:L,12,FALSE)</f>
        <v>843.61</v>
      </c>
    </row>
    <row r="264" spans="1:6">
      <c r="A264" s="3">
        <v>1262</v>
      </c>
      <c r="B264" s="3" t="str">
        <f>VLOOKUP(A264,Dataset!A:L,2,FALSE)</f>
        <v>George Gray</v>
      </c>
      <c r="C264" s="3" t="str">
        <f>VLOOKUP(A264,Dataset!A:L,3,FALSE)</f>
        <v>Accessories</v>
      </c>
      <c r="D264" s="3" t="str">
        <f>VLOOKUP(A264,Dataset!A:L,4,FALSE)</f>
        <v>Watches</v>
      </c>
      <c r="E264" s="3">
        <f>VLOOKUP(A264,Dataset!A:L,8,FALSE)</f>
        <v>0</v>
      </c>
      <c r="F264" s="3">
        <f>VLOOKUP(A264,Dataset!A:L,12,FALSE)</f>
        <v>786.25</v>
      </c>
    </row>
    <row r="265" spans="1:6">
      <c r="A265" s="3">
        <v>1263</v>
      </c>
      <c r="B265" s="3" t="str">
        <f>VLOOKUP(A265,Dataset!A:L,2,FALSE)</f>
        <v>Ryan Graves</v>
      </c>
      <c r="C265" s="3" t="str">
        <f>VLOOKUP(A265,Dataset!A:L,3,FALSE)</f>
        <v>Shoes</v>
      </c>
      <c r="D265" s="3" t="str">
        <f>VLOOKUP(A265,Dataset!A:L,4,FALSE)</f>
        <v>Slip-ons</v>
      </c>
      <c r="E265" s="3">
        <f>VLOOKUP(A265,Dataset!A:L,8,FALSE)</f>
        <v>0</v>
      </c>
      <c r="F265" s="3">
        <f>VLOOKUP(A265,Dataset!A:L,12,FALSE)</f>
        <v>-136.41</v>
      </c>
    </row>
    <row r="266" spans="1:6">
      <c r="A266" s="3">
        <v>1264</v>
      </c>
      <c r="B266" s="3" t="str">
        <f>VLOOKUP(A266,Dataset!A:L,2,FALSE)</f>
        <v>Ernest Myers</v>
      </c>
      <c r="C266" s="3" t="str">
        <f>VLOOKUP(A266,Dataset!A:L,3,FALSE)</f>
        <v>T-Shirts</v>
      </c>
      <c r="D266" s="3" t="str">
        <f>VLOOKUP(A266,Dataset!A:L,4,FALSE)</f>
        <v>Graphic Tee</v>
      </c>
      <c r="E266" s="3">
        <f>VLOOKUP(A266,Dataset!A:L,8,FALSE)</f>
        <v>0</v>
      </c>
      <c r="F266" s="3">
        <f>VLOOKUP(A266,Dataset!A:L,12,FALSE)</f>
        <v>1647.48</v>
      </c>
    </row>
    <row r="267" spans="1:6">
      <c r="A267" s="3">
        <v>1265</v>
      </c>
      <c r="B267" s="3" t="str">
        <f>VLOOKUP(A267,Dataset!A:L,2,FALSE)</f>
        <v>Brandi Lang</v>
      </c>
      <c r="C267" s="3" t="str">
        <f>VLOOKUP(A267,Dataset!A:L,3,FALSE)</f>
        <v>T-Shirts</v>
      </c>
      <c r="D267" s="3" t="str">
        <f>VLOOKUP(A267,Dataset!A:L,4,FALSE)</f>
        <v>Graphic Tee</v>
      </c>
      <c r="E267" s="3">
        <f>VLOOKUP(A267,Dataset!A:L,8,FALSE)</f>
        <v>0</v>
      </c>
      <c r="F267" s="3">
        <f>VLOOKUP(A267,Dataset!A:L,12,FALSE)</f>
        <v>1718.95</v>
      </c>
    </row>
    <row r="268" spans="1:6">
      <c r="A268" s="3">
        <v>1266</v>
      </c>
      <c r="B268" s="3" t="str">
        <f>VLOOKUP(A268,Dataset!A:L,2,FALSE)</f>
        <v>Gloria Barnett</v>
      </c>
      <c r="C268" s="3" t="str">
        <f>VLOOKUP(A268,Dataset!A:L,3,FALSE)</f>
        <v>Shoes</v>
      </c>
      <c r="D268" s="3" t="str">
        <f>VLOOKUP(A268,Dataset!A:L,4,FALSE)</f>
        <v>Slip-ons</v>
      </c>
      <c r="E268" s="3">
        <f>VLOOKUP(A268,Dataset!A:L,8,FALSE)</f>
        <v>0</v>
      </c>
      <c r="F268" s="3">
        <f>VLOOKUP(A268,Dataset!A:L,12,FALSE)</f>
        <v>1024.8599999999999</v>
      </c>
    </row>
    <row r="269" spans="1:6">
      <c r="A269" s="3">
        <v>1267</v>
      </c>
      <c r="B269" s="3" t="str">
        <f>VLOOKUP(A269,Dataset!A:L,2,FALSE)</f>
        <v>Sarah Andrews</v>
      </c>
      <c r="C269" s="3" t="str">
        <f>VLOOKUP(A269,Dataset!A:L,3,FALSE)</f>
        <v>Jackets</v>
      </c>
      <c r="D269" s="3" t="str">
        <f>VLOOKUP(A269,Dataset!A:L,4,FALSE)</f>
        <v>Bomber Jacket</v>
      </c>
      <c r="E269" s="3">
        <f>VLOOKUP(A269,Dataset!A:L,8,FALSE)</f>
        <v>0</v>
      </c>
      <c r="F269" s="3">
        <f>VLOOKUP(A269,Dataset!A:L,12,FALSE)</f>
        <v>650.79999999999995</v>
      </c>
    </row>
    <row r="270" spans="1:6">
      <c r="A270" s="3">
        <v>1268</v>
      </c>
      <c r="B270" s="3" t="str">
        <f>VLOOKUP(A270,Dataset!A:L,2,FALSE)</f>
        <v>Sonya Martinez</v>
      </c>
      <c r="C270" s="3" t="str">
        <f>VLOOKUP(A270,Dataset!A:L,3,FALSE)</f>
        <v>Jackets</v>
      </c>
      <c r="D270" s="3" t="str">
        <f>VLOOKUP(A270,Dataset!A:L,4,FALSE)</f>
        <v>Denim Jacket</v>
      </c>
      <c r="E270" s="3">
        <f>VLOOKUP(A270,Dataset!A:L,8,FALSE)</f>
        <v>0</v>
      </c>
      <c r="F270" s="3">
        <f>VLOOKUP(A270,Dataset!A:L,12,FALSE)</f>
        <v>2668.22</v>
      </c>
    </row>
    <row r="271" spans="1:6">
      <c r="A271" s="3">
        <v>1269</v>
      </c>
      <c r="B271" s="3" t="str">
        <f>VLOOKUP(A271,Dataset!A:L,2,FALSE)</f>
        <v>Brittany Harris</v>
      </c>
      <c r="C271" s="3" t="str">
        <f>VLOOKUP(A271,Dataset!A:L,3,FALSE)</f>
        <v>T-Shirts</v>
      </c>
      <c r="D271" s="3" t="str">
        <f>VLOOKUP(A271,Dataset!A:L,4,FALSE)</f>
        <v>Graphic Tee</v>
      </c>
      <c r="E271" s="3">
        <f>VLOOKUP(A271,Dataset!A:L,8,FALSE)</f>
        <v>0</v>
      </c>
      <c r="F271" s="3">
        <f>VLOOKUP(A271,Dataset!A:L,12,FALSE)</f>
        <v>483.01</v>
      </c>
    </row>
    <row r="272" spans="1:6">
      <c r="A272" s="3">
        <v>1270</v>
      </c>
      <c r="B272" s="3" t="str">
        <f>VLOOKUP(A272,Dataset!A:L,2,FALSE)</f>
        <v>Vanessa Kelley</v>
      </c>
      <c r="C272" s="3" t="str">
        <f>VLOOKUP(A272,Dataset!A:L,3,FALSE)</f>
        <v>T-Shirts</v>
      </c>
      <c r="D272" s="3" t="str">
        <f>VLOOKUP(A272,Dataset!A:L,4,FALSE)</f>
        <v>Graphic Tee</v>
      </c>
      <c r="E272" s="3">
        <f>VLOOKUP(A272,Dataset!A:L,8,FALSE)</f>
        <v>0</v>
      </c>
      <c r="F272" s="3">
        <f>VLOOKUP(A272,Dataset!A:L,12,FALSE)</f>
        <v>-293.05</v>
      </c>
    </row>
    <row r="273" spans="1:6">
      <c r="A273" s="3">
        <v>1271</v>
      </c>
      <c r="B273" s="3" t="str">
        <f>VLOOKUP(A273,Dataset!A:L,2,FALSE)</f>
        <v>Robert Gonzalez</v>
      </c>
      <c r="C273" s="3" t="str">
        <f>VLOOKUP(A273,Dataset!A:L,3,FALSE)</f>
        <v>T-Shirts</v>
      </c>
      <c r="D273" s="3" t="str">
        <f>VLOOKUP(A273,Dataset!A:L,4,FALSE)</f>
        <v>Oversized T-shirt</v>
      </c>
      <c r="E273" s="3">
        <f>VLOOKUP(A273,Dataset!A:L,8,FALSE)</f>
        <v>0</v>
      </c>
      <c r="F273" s="3">
        <f>VLOOKUP(A273,Dataset!A:L,12,FALSE)</f>
        <v>1295.93</v>
      </c>
    </row>
    <row r="274" spans="1:6">
      <c r="A274" s="3">
        <v>1272</v>
      </c>
      <c r="B274" s="3" t="str">
        <f>VLOOKUP(A274,Dataset!A:L,2,FALSE)</f>
        <v>Angela Taylor</v>
      </c>
      <c r="C274" s="3" t="str">
        <f>VLOOKUP(A274,Dataset!A:L,3,FALSE)</f>
        <v>Accessories</v>
      </c>
      <c r="D274" s="3" t="str">
        <f>VLOOKUP(A274,Dataset!A:L,4,FALSE)</f>
        <v>Belts</v>
      </c>
      <c r="E274" s="3">
        <f>VLOOKUP(A274,Dataset!A:L,8,FALSE)</f>
        <v>0</v>
      </c>
      <c r="F274" s="3">
        <f>VLOOKUP(A274,Dataset!A:L,12,FALSE)</f>
        <v>484.51</v>
      </c>
    </row>
    <row r="275" spans="1:6">
      <c r="A275" s="3">
        <v>1273</v>
      </c>
      <c r="B275" s="3" t="str">
        <f>VLOOKUP(A275,Dataset!A:L,2,FALSE)</f>
        <v>Bradley Myers</v>
      </c>
      <c r="C275" s="3" t="str">
        <f>VLOOKUP(A275,Dataset!A:L,3,FALSE)</f>
        <v>T-Shirts</v>
      </c>
      <c r="D275" s="3" t="str">
        <f>VLOOKUP(A275,Dataset!A:L,4,FALSE)</f>
        <v>Oversized T-shirt</v>
      </c>
      <c r="E275" s="3">
        <f>VLOOKUP(A275,Dataset!A:L,8,FALSE)</f>
        <v>0</v>
      </c>
      <c r="F275" s="3">
        <f>VLOOKUP(A275,Dataset!A:L,12,FALSE)</f>
        <v>-431.92</v>
      </c>
    </row>
    <row r="276" spans="1:6">
      <c r="A276" s="3">
        <v>1274</v>
      </c>
      <c r="B276" s="3" t="str">
        <f>VLOOKUP(A276,Dataset!A:L,2,FALSE)</f>
        <v>Russell Love</v>
      </c>
      <c r="C276" s="3" t="str">
        <f>VLOOKUP(A276,Dataset!A:L,3,FALSE)</f>
        <v>Dresses</v>
      </c>
      <c r="D276" s="3" t="str">
        <f>VLOOKUP(A276,Dataset!A:L,4,FALSE)</f>
        <v>Wrap Dress</v>
      </c>
      <c r="E276" s="3">
        <f>VLOOKUP(A276,Dataset!A:L,8,FALSE)</f>
        <v>0</v>
      </c>
      <c r="F276" s="3">
        <f>VLOOKUP(A276,Dataset!A:L,12,FALSE)</f>
        <v>62.98</v>
      </c>
    </row>
    <row r="277" spans="1:6">
      <c r="A277" s="3">
        <v>1275</v>
      </c>
      <c r="B277" s="3" t="str">
        <f>VLOOKUP(A277,Dataset!A:L,2,FALSE)</f>
        <v>Kelly Wong</v>
      </c>
      <c r="C277" s="3" t="str">
        <f>VLOOKUP(A277,Dataset!A:L,3,FALSE)</f>
        <v>Dresses</v>
      </c>
      <c r="D277" s="3" t="str">
        <f>VLOOKUP(A277,Dataset!A:L,4,FALSE)</f>
        <v>Casual Midi</v>
      </c>
      <c r="E277" s="3">
        <f>VLOOKUP(A277,Dataset!A:L,8,FALSE)</f>
        <v>0</v>
      </c>
      <c r="F277" s="3">
        <f>VLOOKUP(A277,Dataset!A:L,12,FALSE)</f>
        <v>2732.47</v>
      </c>
    </row>
    <row r="278" spans="1:6">
      <c r="A278" s="3">
        <v>1276</v>
      </c>
      <c r="B278" s="3" t="str">
        <f>VLOOKUP(A278,Dataset!A:L,2,FALSE)</f>
        <v>Erin Wright</v>
      </c>
      <c r="C278" s="3" t="str">
        <f>VLOOKUP(A278,Dataset!A:L,3,FALSE)</f>
        <v>Shoes</v>
      </c>
      <c r="D278" s="3" t="str">
        <f>VLOOKUP(A278,Dataset!A:L,4,FALSE)</f>
        <v>Boots</v>
      </c>
      <c r="E278" s="3">
        <f>VLOOKUP(A278,Dataset!A:L,8,FALSE)</f>
        <v>0</v>
      </c>
      <c r="F278" s="3">
        <f>VLOOKUP(A278,Dataset!A:L,12,FALSE)</f>
        <v>-869.12</v>
      </c>
    </row>
    <row r="279" spans="1:6">
      <c r="A279" s="3">
        <v>1277</v>
      </c>
      <c r="B279" s="3" t="str">
        <f>VLOOKUP(A279,Dataset!A:L,2,FALSE)</f>
        <v>Michael Coleman</v>
      </c>
      <c r="C279" s="3" t="str">
        <f>VLOOKUP(A279,Dataset!A:L,3,FALSE)</f>
        <v>Accessories</v>
      </c>
      <c r="D279" s="3" t="str">
        <f>VLOOKUP(A279,Dataset!A:L,4,FALSE)</f>
        <v>Sunglasses</v>
      </c>
      <c r="E279" s="3">
        <f>VLOOKUP(A279,Dataset!A:L,8,FALSE)</f>
        <v>4059.65</v>
      </c>
      <c r="F279" s="3">
        <f>VLOOKUP(A279,Dataset!A:L,12,FALSE)</f>
        <v>1255.6600000000001</v>
      </c>
    </row>
    <row r="280" spans="1:6">
      <c r="A280" s="3">
        <v>1278</v>
      </c>
      <c r="B280" s="3" t="str">
        <f>VLOOKUP(A280,Dataset!A:L,2,FALSE)</f>
        <v>Jessica Kirby</v>
      </c>
      <c r="C280" s="3" t="str">
        <f>VLOOKUP(A280,Dataset!A:L,3,FALSE)</f>
        <v>Accessories</v>
      </c>
      <c r="D280" s="3" t="str">
        <f>VLOOKUP(A280,Dataset!A:L,4,FALSE)</f>
        <v>Sunglasses</v>
      </c>
      <c r="E280" s="3">
        <f>VLOOKUP(A280,Dataset!A:L,8,FALSE)</f>
        <v>0</v>
      </c>
      <c r="F280" s="3">
        <f>VLOOKUP(A280,Dataset!A:L,12,FALSE)</f>
        <v>466.53</v>
      </c>
    </row>
    <row r="281" spans="1:6">
      <c r="A281" s="3">
        <v>1279</v>
      </c>
      <c r="B281" s="3" t="str">
        <f>VLOOKUP(A281,Dataset!A:L,2,FALSE)</f>
        <v>Laura Romero</v>
      </c>
      <c r="C281" s="3" t="str">
        <f>VLOOKUP(A281,Dataset!A:L,3,FALSE)</f>
        <v>Shoes</v>
      </c>
      <c r="D281" s="3" t="str">
        <f>VLOOKUP(A281,Dataset!A:L,4,FALSE)</f>
        <v>Boots</v>
      </c>
      <c r="E281" s="3">
        <f>VLOOKUP(A281,Dataset!A:L,8,FALSE)</f>
        <v>0</v>
      </c>
      <c r="F281" s="3">
        <f>VLOOKUP(A281,Dataset!A:L,12,FALSE)</f>
        <v>1430.67</v>
      </c>
    </row>
    <row r="282" spans="1:6">
      <c r="A282" s="3">
        <v>1280</v>
      </c>
      <c r="B282" s="3" t="str">
        <f>VLOOKUP(A282,Dataset!A:L,2,FALSE)</f>
        <v>Joseph Joseph</v>
      </c>
      <c r="C282" s="3" t="str">
        <f>VLOOKUP(A282,Dataset!A:L,3,FALSE)</f>
        <v>T-Shirts</v>
      </c>
      <c r="D282" s="3" t="str">
        <f>VLOOKUP(A282,Dataset!A:L,4,FALSE)</f>
        <v>Crop Top</v>
      </c>
      <c r="E282" s="3">
        <f>VLOOKUP(A282,Dataset!A:L,8,FALSE)</f>
        <v>0</v>
      </c>
      <c r="F282" s="3">
        <f>VLOOKUP(A282,Dataset!A:L,12,FALSE)</f>
        <v>263.41000000000003</v>
      </c>
    </row>
    <row r="283" spans="1:6">
      <c r="A283" s="3">
        <v>1003</v>
      </c>
      <c r="B283" s="3" t="str">
        <f>VLOOKUP(A283,Dataset!A:L,2,FALSE)</f>
        <v>Jay Briggs</v>
      </c>
      <c r="C283" s="3" t="str">
        <f>VLOOKUP(A283,Dataset!A:L,3,FALSE)</f>
        <v>Shoes</v>
      </c>
      <c r="D283" s="3" t="str">
        <f>VLOOKUP(A283,Dataset!A:L,4,FALSE)</f>
        <v>Loafers</v>
      </c>
      <c r="E283" s="3">
        <f>VLOOKUP(A283,Dataset!A:L,8,FALSE)</f>
        <v>0</v>
      </c>
      <c r="F283" s="3">
        <f>VLOOKUP(A283,Dataset!A:L,12,FALSE)</f>
        <v>2296.5</v>
      </c>
    </row>
    <row r="284" spans="1:6">
      <c r="A284" s="3">
        <v>1282</v>
      </c>
      <c r="B284" s="3" t="str">
        <f>VLOOKUP(A284,Dataset!A:L,2,FALSE)</f>
        <v>Kevin Hunter</v>
      </c>
      <c r="C284" s="3" t="str">
        <f>VLOOKUP(A284,Dataset!A:L,3,FALSE)</f>
        <v>Shoes</v>
      </c>
      <c r="D284" s="3" t="str">
        <f>VLOOKUP(A284,Dataset!A:L,4,FALSE)</f>
        <v>Loafers</v>
      </c>
      <c r="E284" s="3">
        <f>VLOOKUP(A284,Dataset!A:L,8,FALSE)</f>
        <v>0</v>
      </c>
      <c r="F284" s="3">
        <f>VLOOKUP(A284,Dataset!A:L,12,FALSE)</f>
        <v>-909.75</v>
      </c>
    </row>
    <row r="285" spans="1:6">
      <c r="A285" s="3">
        <v>1283</v>
      </c>
      <c r="B285" s="3" t="str">
        <f>VLOOKUP(A285,Dataset!A:L,2,FALSE)</f>
        <v>Kelly Gray</v>
      </c>
      <c r="C285" s="3" t="str">
        <f>VLOOKUP(A285,Dataset!A:L,3,FALSE)</f>
        <v>Shoes</v>
      </c>
      <c r="D285" s="3" t="str">
        <f>VLOOKUP(A285,Dataset!A:L,4,FALSE)</f>
        <v>Slip-ons</v>
      </c>
      <c r="E285" s="3">
        <f>VLOOKUP(A285,Dataset!A:L,8,FALSE)</f>
        <v>0</v>
      </c>
      <c r="F285" s="3">
        <f>VLOOKUP(A285,Dataset!A:L,12,FALSE)</f>
        <v>379.24</v>
      </c>
    </row>
    <row r="286" spans="1:6">
      <c r="A286" s="3">
        <v>1284</v>
      </c>
      <c r="B286" s="3" t="str">
        <f>VLOOKUP(A286,Dataset!A:L,2,FALSE)</f>
        <v>Carlos Walsh</v>
      </c>
      <c r="C286" s="3" t="str">
        <f>VLOOKUP(A286,Dataset!A:L,3,FALSE)</f>
        <v>Jackets</v>
      </c>
      <c r="D286" s="3" t="str">
        <f>VLOOKUP(A286,Dataset!A:L,4,FALSE)</f>
        <v>Puffer Coat</v>
      </c>
      <c r="E286" s="3">
        <f>VLOOKUP(A286,Dataset!A:L,8,FALSE)</f>
        <v>0</v>
      </c>
      <c r="F286" s="3">
        <f>VLOOKUP(A286,Dataset!A:L,12,FALSE)</f>
        <v>-348.48</v>
      </c>
    </row>
    <row r="287" spans="1:6">
      <c r="A287" s="3">
        <v>1285</v>
      </c>
      <c r="B287" s="3" t="str">
        <f>VLOOKUP(A287,Dataset!A:L,2,FALSE)</f>
        <v>Deborah Mckee</v>
      </c>
      <c r="C287" s="3" t="str">
        <f>VLOOKUP(A287,Dataset!A:L,3,FALSE)</f>
        <v>Accessories</v>
      </c>
      <c r="D287" s="3" t="str">
        <f>VLOOKUP(A287,Dataset!A:L,4,FALSE)</f>
        <v>Belts</v>
      </c>
      <c r="E287" s="3">
        <f>VLOOKUP(A287,Dataset!A:L,8,FALSE)</f>
        <v>0</v>
      </c>
      <c r="F287" s="3">
        <f>VLOOKUP(A287,Dataset!A:L,12,FALSE)</f>
        <v>2024.84</v>
      </c>
    </row>
    <row r="288" spans="1:6">
      <c r="A288" s="3">
        <v>1286</v>
      </c>
      <c r="B288" s="3" t="str">
        <f>VLOOKUP(A288,Dataset!A:L,2,FALSE)</f>
        <v>Andrew Harmon</v>
      </c>
      <c r="C288" s="3" t="str">
        <f>VLOOKUP(A288,Dataset!A:L,3,FALSE)</f>
        <v>T-Shirts</v>
      </c>
      <c r="D288" s="3" t="str">
        <f>VLOOKUP(A288,Dataset!A:L,4,FALSE)</f>
        <v>Graphic Tee</v>
      </c>
      <c r="E288" s="3">
        <f>VLOOKUP(A288,Dataset!A:L,8,FALSE)</f>
        <v>0</v>
      </c>
      <c r="F288" s="3">
        <f>VLOOKUP(A288,Dataset!A:L,12,FALSE)</f>
        <v>2562.54</v>
      </c>
    </row>
    <row r="289" spans="1:6">
      <c r="A289" s="3">
        <v>1287</v>
      </c>
      <c r="B289" s="3" t="str">
        <f>VLOOKUP(A289,Dataset!A:L,2,FALSE)</f>
        <v>Todd Hall</v>
      </c>
      <c r="C289" s="3" t="str">
        <f>VLOOKUP(A289,Dataset!A:L,3,FALSE)</f>
        <v>Jeans</v>
      </c>
      <c r="D289" s="3" t="str">
        <f>VLOOKUP(A289,Dataset!A:L,4,FALSE)</f>
        <v>Slim Fit Jeans</v>
      </c>
      <c r="E289" s="3">
        <f>VLOOKUP(A289,Dataset!A:L,8,FALSE)</f>
        <v>0</v>
      </c>
      <c r="F289" s="3">
        <f>VLOOKUP(A289,Dataset!A:L,12,FALSE)</f>
        <v>802.66</v>
      </c>
    </row>
    <row r="290" spans="1:6">
      <c r="A290" s="3">
        <v>1288</v>
      </c>
      <c r="B290" s="3" t="str">
        <f>VLOOKUP(A290,Dataset!A:L,2,FALSE)</f>
        <v>Danny Gilbert</v>
      </c>
      <c r="C290" s="3" t="str">
        <f>VLOOKUP(A290,Dataset!A:L,3,FALSE)</f>
        <v>Shoes</v>
      </c>
      <c r="D290" s="3" t="str">
        <f>VLOOKUP(A290,Dataset!A:L,4,FALSE)</f>
        <v>Slip-ons</v>
      </c>
      <c r="E290" s="3">
        <f>VLOOKUP(A290,Dataset!A:L,8,FALSE)</f>
        <v>0</v>
      </c>
      <c r="F290" s="3">
        <f>VLOOKUP(A290,Dataset!A:L,12,FALSE)</f>
        <v>-492.73</v>
      </c>
    </row>
    <row r="291" spans="1:6">
      <c r="A291" s="3">
        <v>1289</v>
      </c>
      <c r="B291" s="3" t="str">
        <f>VLOOKUP(A291,Dataset!A:L,2,FALSE)</f>
        <v>Lauren Johnson</v>
      </c>
      <c r="C291" s="3" t="str">
        <f>VLOOKUP(A291,Dataset!A:L,3,FALSE)</f>
        <v>Jackets</v>
      </c>
      <c r="D291" s="3" t="str">
        <f>VLOOKUP(A291,Dataset!A:L,4,FALSE)</f>
        <v>Denim Jacket</v>
      </c>
      <c r="E291" s="3">
        <f>VLOOKUP(A291,Dataset!A:L,8,FALSE)</f>
        <v>0</v>
      </c>
      <c r="F291" s="3">
        <f>VLOOKUP(A291,Dataset!A:L,12,FALSE)</f>
        <v>2052.5700000000002</v>
      </c>
    </row>
    <row r="292" spans="1:6">
      <c r="A292" s="3">
        <v>1290</v>
      </c>
      <c r="B292" s="3" t="str">
        <f>VLOOKUP(A292,Dataset!A:L,2,FALSE)</f>
        <v>Katherine Parsons</v>
      </c>
      <c r="C292" s="3" t="str">
        <f>VLOOKUP(A292,Dataset!A:L,3,FALSE)</f>
        <v>Jeans</v>
      </c>
      <c r="D292" s="3" t="str">
        <f>VLOOKUP(A292,Dataset!A:L,4,FALSE)</f>
        <v>Slim Fit Jeans</v>
      </c>
      <c r="E292" s="3">
        <f>VLOOKUP(A292,Dataset!A:L,8,FALSE)</f>
        <v>0</v>
      </c>
      <c r="F292" s="3">
        <f>VLOOKUP(A292,Dataset!A:L,12,FALSE)</f>
        <v>430.92</v>
      </c>
    </row>
    <row r="293" spans="1:6">
      <c r="A293" s="3">
        <v>1291</v>
      </c>
      <c r="B293" s="3" t="str">
        <f>VLOOKUP(A293,Dataset!A:L,2,FALSE)</f>
        <v>Jason Calhoun</v>
      </c>
      <c r="C293" s="3" t="str">
        <f>VLOOKUP(A293,Dataset!A:L,3,FALSE)</f>
        <v>Jackets</v>
      </c>
      <c r="D293" s="3" t="str">
        <f>VLOOKUP(A293,Dataset!A:L,4,FALSE)</f>
        <v>Puffer Coat</v>
      </c>
      <c r="E293" s="3">
        <f>VLOOKUP(A293,Dataset!A:L,8,FALSE)</f>
        <v>0</v>
      </c>
      <c r="F293" s="3">
        <f>VLOOKUP(A293,Dataset!A:L,12,FALSE)</f>
        <v>1073.44</v>
      </c>
    </row>
    <row r="294" spans="1:6">
      <c r="A294" s="3">
        <v>1292</v>
      </c>
      <c r="B294" s="3" t="str">
        <f>VLOOKUP(A294,Dataset!A:L,2,FALSE)</f>
        <v>Amy Howard</v>
      </c>
      <c r="C294" s="3" t="str">
        <f>VLOOKUP(A294,Dataset!A:L,3,FALSE)</f>
        <v>Dresses</v>
      </c>
      <c r="D294" s="3" t="str">
        <f>VLOOKUP(A294,Dataset!A:L,4,FALSE)</f>
        <v>Maxi Dress</v>
      </c>
      <c r="E294" s="3">
        <f>VLOOKUP(A294,Dataset!A:L,8,FALSE)</f>
        <v>0</v>
      </c>
      <c r="F294" s="3">
        <f>VLOOKUP(A294,Dataset!A:L,12,FALSE)</f>
        <v>1165.8599999999999</v>
      </c>
    </row>
    <row r="295" spans="1:6">
      <c r="A295" s="3">
        <v>1293</v>
      </c>
      <c r="B295" s="3" t="str">
        <f>VLOOKUP(A295,Dataset!A:L,2,FALSE)</f>
        <v>Cindy Hall</v>
      </c>
      <c r="C295" s="3" t="str">
        <f>VLOOKUP(A295,Dataset!A:L,3,FALSE)</f>
        <v>Jackets</v>
      </c>
      <c r="D295" s="3" t="str">
        <f>VLOOKUP(A295,Dataset!A:L,4,FALSE)</f>
        <v>Denim Jacket</v>
      </c>
      <c r="E295" s="3">
        <f>VLOOKUP(A295,Dataset!A:L,8,FALSE)</f>
        <v>0</v>
      </c>
      <c r="F295" s="3">
        <f>VLOOKUP(A295,Dataset!A:L,12,FALSE)</f>
        <v>2073.16</v>
      </c>
    </row>
    <row r="296" spans="1:6">
      <c r="A296" s="3">
        <v>1294</v>
      </c>
      <c r="B296" s="3" t="str">
        <f>VLOOKUP(A296,Dataset!A:L,2,FALSE)</f>
        <v>Jeff Hernandez</v>
      </c>
      <c r="C296" s="3" t="str">
        <f>VLOOKUP(A296,Dataset!A:L,3,FALSE)</f>
        <v>Accessories</v>
      </c>
      <c r="D296" s="3" t="str">
        <f>VLOOKUP(A296,Dataset!A:L,4,FALSE)</f>
        <v>Watches</v>
      </c>
      <c r="E296" s="3">
        <f>VLOOKUP(A296,Dataset!A:L,8,FALSE)</f>
        <v>0</v>
      </c>
      <c r="F296" s="3">
        <f>VLOOKUP(A296,Dataset!A:L,12,FALSE)</f>
        <v>898.24</v>
      </c>
    </row>
    <row r="297" spans="1:6">
      <c r="A297" s="3">
        <v>1295</v>
      </c>
      <c r="B297" s="3" t="str">
        <f>VLOOKUP(A297,Dataset!A:L,2,FALSE)</f>
        <v>Tiffany Maxwell</v>
      </c>
      <c r="C297" s="3" t="str">
        <f>VLOOKUP(A297,Dataset!A:L,3,FALSE)</f>
        <v>Jackets</v>
      </c>
      <c r="D297" s="3" t="str">
        <f>VLOOKUP(A297,Dataset!A:L,4,FALSE)</f>
        <v>Leather Jacket</v>
      </c>
      <c r="E297" s="3">
        <f>VLOOKUP(A297,Dataset!A:L,8,FALSE)</f>
        <v>0</v>
      </c>
      <c r="F297" s="3">
        <f>VLOOKUP(A297,Dataset!A:L,12,FALSE)</f>
        <v>2967.72</v>
      </c>
    </row>
    <row r="298" spans="1:6">
      <c r="A298" s="3">
        <v>1296</v>
      </c>
      <c r="B298" s="3" t="str">
        <f>VLOOKUP(A298,Dataset!A:L,2,FALSE)</f>
        <v>Lori Orozco</v>
      </c>
      <c r="C298" s="3" t="str">
        <f>VLOOKUP(A298,Dataset!A:L,3,FALSE)</f>
        <v>Jeans</v>
      </c>
      <c r="D298" s="3" t="str">
        <f>VLOOKUP(A298,Dataset!A:L,4,FALSE)</f>
        <v>Slim Fit Jeans</v>
      </c>
      <c r="E298" s="3">
        <f>VLOOKUP(A298,Dataset!A:L,8,FALSE)</f>
        <v>0</v>
      </c>
      <c r="F298" s="3">
        <f>VLOOKUP(A298,Dataset!A:L,12,FALSE)</f>
        <v>1438.47</v>
      </c>
    </row>
    <row r="299" spans="1:6">
      <c r="A299" s="3">
        <v>1297</v>
      </c>
      <c r="B299" s="3" t="str">
        <f>VLOOKUP(A299,Dataset!A:L,2,FALSE)</f>
        <v>Sharon Combs</v>
      </c>
      <c r="C299" s="3" t="str">
        <f>VLOOKUP(A299,Dataset!A:L,3,FALSE)</f>
        <v>Jackets</v>
      </c>
      <c r="D299" s="3" t="str">
        <f>VLOOKUP(A299,Dataset!A:L,4,FALSE)</f>
        <v>Puffer Coat</v>
      </c>
      <c r="E299" s="3">
        <f>VLOOKUP(A299,Dataset!A:L,8,FALSE)</f>
        <v>0</v>
      </c>
      <c r="F299" s="3">
        <f>VLOOKUP(A299,Dataset!A:L,12,FALSE)</f>
        <v>1637.33</v>
      </c>
    </row>
    <row r="300" spans="1:6">
      <c r="A300" s="3">
        <v>1298</v>
      </c>
      <c r="B300" s="3" t="str">
        <f>VLOOKUP(A300,Dataset!A:L,2,FALSE)</f>
        <v>Dylan Newton</v>
      </c>
      <c r="C300" s="3" t="str">
        <f>VLOOKUP(A300,Dataset!A:L,3,FALSE)</f>
        <v>T-Shirts</v>
      </c>
      <c r="D300" s="3" t="str">
        <f>VLOOKUP(A300,Dataset!A:L,4,FALSE)</f>
        <v>Graphic Tee</v>
      </c>
      <c r="E300" s="3">
        <f>VLOOKUP(A300,Dataset!A:L,8,FALSE)</f>
        <v>0</v>
      </c>
      <c r="F300" s="3">
        <f>VLOOKUP(A300,Dataset!A:L,12,FALSE)</f>
        <v>2490.23</v>
      </c>
    </row>
    <row r="301" spans="1:6">
      <c r="A301" s="3">
        <v>1299</v>
      </c>
      <c r="B301" s="3" t="str">
        <f>VLOOKUP(A301,Dataset!A:L,2,FALSE)</f>
        <v>John Levine</v>
      </c>
      <c r="C301" s="3" t="str">
        <f>VLOOKUP(A301,Dataset!A:L,3,FALSE)</f>
        <v>Jackets</v>
      </c>
      <c r="D301" s="3" t="str">
        <f>VLOOKUP(A301,Dataset!A:L,4,FALSE)</f>
        <v>Denim Jacket</v>
      </c>
      <c r="E301" s="3">
        <f>VLOOKUP(A301,Dataset!A:L,8,FALSE)</f>
        <v>0</v>
      </c>
      <c r="F301" s="3">
        <f>VLOOKUP(A301,Dataset!A:L,12,FALSE)</f>
        <v>1178.3699999999999</v>
      </c>
    </row>
    <row r="302" spans="1:6">
      <c r="A302" s="3">
        <v>1300</v>
      </c>
      <c r="B302" s="3" t="str">
        <f>VLOOKUP(A302,Dataset!A:L,2,FALSE)</f>
        <v>Latoya Johnson</v>
      </c>
      <c r="C302" s="3" t="str">
        <f>VLOOKUP(A302,Dataset!A:L,3,FALSE)</f>
        <v>Jeans</v>
      </c>
      <c r="D302" s="3" t="str">
        <f>VLOOKUP(A302,Dataset!A:L,4,FALSE)</f>
        <v>Slim Fit Jeans</v>
      </c>
      <c r="E302" s="3">
        <f>VLOOKUP(A302,Dataset!A:L,8,FALSE)</f>
        <v>0</v>
      </c>
      <c r="F302" s="3">
        <f>VLOOKUP(A302,Dataset!A:L,12,FALSE)</f>
        <v>703.48</v>
      </c>
    </row>
    <row r="303" spans="1:6">
      <c r="A303" s="3">
        <v>1047</v>
      </c>
      <c r="B303" s="3" t="str">
        <f>VLOOKUP(A303,Dataset!A:L,2,FALSE)</f>
        <v>Matthew Thompson</v>
      </c>
      <c r="C303" s="3" t="str">
        <f>VLOOKUP(A303,Dataset!A:L,3,FALSE)</f>
        <v>Jeans</v>
      </c>
      <c r="D303" s="3" t="str">
        <f>VLOOKUP(A303,Dataset!A:L,4,FALSE)</f>
        <v>Straight Cut</v>
      </c>
      <c r="E303" s="3">
        <f>VLOOKUP(A303,Dataset!A:L,8,FALSE)</f>
        <v>0</v>
      </c>
      <c r="F303" s="3">
        <f>VLOOKUP(A303,Dataset!A:L,12,FALSE)</f>
        <v>-395.76</v>
      </c>
    </row>
    <row r="304" spans="1:6">
      <c r="A304" s="3">
        <v>1302</v>
      </c>
      <c r="B304" s="3" t="str">
        <f>VLOOKUP(A304,Dataset!A:L,2,FALSE)</f>
        <v>Adam Bryan</v>
      </c>
      <c r="C304" s="3" t="str">
        <f>VLOOKUP(A304,Dataset!A:L,3,FALSE)</f>
        <v>Jeans</v>
      </c>
      <c r="D304" s="3" t="str">
        <f>VLOOKUP(A304,Dataset!A:L,4,FALSE)</f>
        <v>Ripped Denim</v>
      </c>
      <c r="E304" s="3">
        <f>VLOOKUP(A304,Dataset!A:L,8,FALSE)</f>
        <v>0</v>
      </c>
      <c r="F304" s="3">
        <f>VLOOKUP(A304,Dataset!A:L,12,FALSE)</f>
        <v>339.17</v>
      </c>
    </row>
    <row r="305" spans="1:6">
      <c r="A305" s="3">
        <v>1303</v>
      </c>
      <c r="B305" s="3" t="str">
        <f>VLOOKUP(A305,Dataset!A:L,2,FALSE)</f>
        <v>Laura Smith</v>
      </c>
      <c r="C305" s="3" t="str">
        <f>VLOOKUP(A305,Dataset!A:L,3,FALSE)</f>
        <v>Jeans</v>
      </c>
      <c r="D305" s="3" t="str">
        <f>VLOOKUP(A305,Dataset!A:L,4,FALSE)</f>
        <v>Straight Cut</v>
      </c>
      <c r="E305" s="3">
        <f>VLOOKUP(A305,Dataset!A:L,8,FALSE)</f>
        <v>0</v>
      </c>
      <c r="F305" s="3">
        <f>VLOOKUP(A305,Dataset!A:L,12,FALSE)</f>
        <v>505.33</v>
      </c>
    </row>
    <row r="306" spans="1:6">
      <c r="A306" s="3">
        <v>1047</v>
      </c>
      <c r="B306" s="3" t="str">
        <f>VLOOKUP(A306,Dataset!A:L,2,FALSE)</f>
        <v>Matthew Thompson</v>
      </c>
      <c r="C306" s="3" t="str">
        <f>VLOOKUP(A306,Dataset!A:L,3,FALSE)</f>
        <v>Jeans</v>
      </c>
      <c r="D306" s="3" t="str">
        <f>VLOOKUP(A306,Dataset!A:L,4,FALSE)</f>
        <v>Straight Cut</v>
      </c>
      <c r="E306" s="3">
        <f>VLOOKUP(A306,Dataset!A:L,8,FALSE)</f>
        <v>0</v>
      </c>
      <c r="F306" s="3">
        <f>VLOOKUP(A306,Dataset!A:L,12,FALSE)</f>
        <v>-395.76</v>
      </c>
    </row>
    <row r="307" spans="1:6">
      <c r="A307" s="3">
        <v>1305</v>
      </c>
      <c r="B307" s="3" t="str">
        <f>VLOOKUP(A307,Dataset!A:L,2,FALSE)</f>
        <v>Kelsey Stein</v>
      </c>
      <c r="C307" s="3" t="str">
        <f>VLOOKUP(A307,Dataset!A:L,3,FALSE)</f>
        <v>Jackets</v>
      </c>
      <c r="D307" s="3" t="str">
        <f>VLOOKUP(A307,Dataset!A:L,4,FALSE)</f>
        <v>Bomber Jacket</v>
      </c>
      <c r="E307" s="3">
        <f>VLOOKUP(A307,Dataset!A:L,8,FALSE)</f>
        <v>0</v>
      </c>
      <c r="F307" s="3">
        <f>VLOOKUP(A307,Dataset!A:L,12,FALSE)</f>
        <v>2861.3</v>
      </c>
    </row>
    <row r="308" spans="1:6">
      <c r="A308" s="3">
        <v>1306</v>
      </c>
      <c r="B308" s="3" t="str">
        <f>VLOOKUP(A308,Dataset!A:L,2,FALSE)</f>
        <v>Aaron Johnson</v>
      </c>
      <c r="C308" s="3" t="str">
        <f>VLOOKUP(A308,Dataset!A:L,3,FALSE)</f>
        <v>Accessories</v>
      </c>
      <c r="D308" s="3" t="str">
        <f>VLOOKUP(A308,Dataset!A:L,4,FALSE)</f>
        <v>Belts</v>
      </c>
      <c r="E308" s="3">
        <f>VLOOKUP(A308,Dataset!A:L,8,FALSE)</f>
        <v>0</v>
      </c>
      <c r="F308" s="3">
        <f>VLOOKUP(A308,Dataset!A:L,12,FALSE)</f>
        <v>99.1</v>
      </c>
    </row>
    <row r="309" spans="1:6">
      <c r="A309" s="3">
        <v>1307</v>
      </c>
      <c r="B309" s="3" t="str">
        <f>VLOOKUP(A309,Dataset!A:L,2,FALSE)</f>
        <v>Amber Lee</v>
      </c>
      <c r="C309" s="3" t="str">
        <f>VLOOKUP(A309,Dataset!A:L,3,FALSE)</f>
        <v>Dresses</v>
      </c>
      <c r="D309" s="3" t="str">
        <f>VLOOKUP(A309,Dataset!A:L,4,FALSE)</f>
        <v>Maxi Dress</v>
      </c>
      <c r="E309" s="3">
        <f>VLOOKUP(A309,Dataset!A:L,8,FALSE)</f>
        <v>0</v>
      </c>
      <c r="F309" s="3">
        <f>VLOOKUP(A309,Dataset!A:L,12,FALSE)</f>
        <v>642</v>
      </c>
    </row>
    <row r="310" spans="1:6">
      <c r="A310" s="3">
        <v>1308</v>
      </c>
      <c r="B310" s="3" t="str">
        <f>VLOOKUP(A310,Dataset!A:L,2,FALSE)</f>
        <v>Michael Joseph</v>
      </c>
      <c r="C310" s="3" t="str">
        <f>VLOOKUP(A310,Dataset!A:L,3,FALSE)</f>
        <v>Dresses</v>
      </c>
      <c r="D310" s="3" t="str">
        <f>VLOOKUP(A310,Dataset!A:L,4,FALSE)</f>
        <v>Bodycon</v>
      </c>
      <c r="E310" s="3">
        <f>VLOOKUP(A310,Dataset!A:L,8,FALSE)</f>
        <v>0</v>
      </c>
      <c r="F310" s="3">
        <f>VLOOKUP(A310,Dataset!A:L,12,FALSE)</f>
        <v>464.65</v>
      </c>
    </row>
    <row r="311" spans="1:6">
      <c r="A311" s="3">
        <v>1309</v>
      </c>
      <c r="B311" s="3" t="str">
        <f>VLOOKUP(A311,Dataset!A:L,2,FALSE)</f>
        <v>Tina Brown</v>
      </c>
      <c r="C311" s="3" t="str">
        <f>VLOOKUP(A311,Dataset!A:L,3,FALSE)</f>
        <v>Accessories</v>
      </c>
      <c r="D311" s="3" t="str">
        <f>VLOOKUP(A311,Dataset!A:L,4,FALSE)</f>
        <v>Caps</v>
      </c>
      <c r="E311" s="3">
        <f>VLOOKUP(A311,Dataset!A:L,8,FALSE)</f>
        <v>0</v>
      </c>
      <c r="F311" s="3">
        <f>VLOOKUP(A311,Dataset!A:L,12,FALSE)</f>
        <v>481.45</v>
      </c>
    </row>
    <row r="312" spans="1:6">
      <c r="A312" s="3">
        <v>1310</v>
      </c>
      <c r="B312" s="3" t="str">
        <f>VLOOKUP(A312,Dataset!A:L,2,FALSE)</f>
        <v>Thomas Smith</v>
      </c>
      <c r="C312" s="3" t="str">
        <f>VLOOKUP(A312,Dataset!A:L,3,FALSE)</f>
        <v>Dresses</v>
      </c>
      <c r="D312" s="3" t="str">
        <f>VLOOKUP(A312,Dataset!A:L,4,FALSE)</f>
        <v>Maxi Dress</v>
      </c>
      <c r="E312" s="3">
        <f>VLOOKUP(A312,Dataset!A:L,8,FALSE)</f>
        <v>0</v>
      </c>
      <c r="F312" s="3">
        <f>VLOOKUP(A312,Dataset!A:L,12,FALSE)</f>
        <v>1516.35</v>
      </c>
    </row>
    <row r="313" spans="1:6">
      <c r="A313" s="3">
        <v>1311</v>
      </c>
      <c r="B313" s="3" t="str">
        <f>VLOOKUP(A313,Dataset!A:L,2,FALSE)</f>
        <v>Jennifer Watson</v>
      </c>
      <c r="C313" s="3" t="str">
        <f>VLOOKUP(A313,Dataset!A:L,3,FALSE)</f>
        <v>Jackets</v>
      </c>
      <c r="D313" s="3" t="str">
        <f>VLOOKUP(A313,Dataset!A:L,4,FALSE)</f>
        <v>Bomber Jacket</v>
      </c>
      <c r="E313" s="3">
        <f>VLOOKUP(A313,Dataset!A:L,8,FALSE)</f>
        <v>0</v>
      </c>
      <c r="F313" s="3">
        <f>VLOOKUP(A313,Dataset!A:L,12,FALSE)</f>
        <v>-109.19</v>
      </c>
    </row>
    <row r="314" spans="1:6">
      <c r="A314" s="3">
        <v>1312</v>
      </c>
      <c r="B314" s="3" t="str">
        <f>VLOOKUP(A314,Dataset!A:L,2,FALSE)</f>
        <v>Wendy Garcia</v>
      </c>
      <c r="C314" s="3" t="str">
        <f>VLOOKUP(A314,Dataset!A:L,3,FALSE)</f>
        <v>Accessories</v>
      </c>
      <c r="D314" s="3" t="str">
        <f>VLOOKUP(A314,Dataset!A:L,4,FALSE)</f>
        <v>Sunglasses</v>
      </c>
      <c r="E314" s="3">
        <f>VLOOKUP(A314,Dataset!A:L,8,FALSE)</f>
        <v>0</v>
      </c>
      <c r="F314" s="3">
        <f>VLOOKUP(A314,Dataset!A:L,12,FALSE)</f>
        <v>-646.16</v>
      </c>
    </row>
    <row r="315" spans="1:6">
      <c r="A315" s="3">
        <v>1313</v>
      </c>
      <c r="B315" s="3" t="str">
        <f>VLOOKUP(A315,Dataset!A:L,2,FALSE)</f>
        <v>Sean Pope</v>
      </c>
      <c r="C315" s="3" t="str">
        <f>VLOOKUP(A315,Dataset!A:L,3,FALSE)</f>
        <v>Accessories</v>
      </c>
      <c r="D315" s="3" t="str">
        <f>VLOOKUP(A315,Dataset!A:L,4,FALSE)</f>
        <v>Watches</v>
      </c>
      <c r="E315" s="3">
        <f>VLOOKUP(A315,Dataset!A:L,8,FALSE)</f>
        <v>0</v>
      </c>
      <c r="F315" s="3">
        <f>VLOOKUP(A315,Dataset!A:L,12,FALSE)</f>
        <v>-581.35</v>
      </c>
    </row>
    <row r="316" spans="1:6">
      <c r="A316" s="3">
        <v>1314</v>
      </c>
      <c r="B316" s="3" t="str">
        <f>VLOOKUP(A316,Dataset!A:L,2,FALSE)</f>
        <v>Brad Mccarty</v>
      </c>
      <c r="C316" s="3" t="str">
        <f>VLOOKUP(A316,Dataset!A:L,3,FALSE)</f>
        <v>Shoes</v>
      </c>
      <c r="D316" s="3" t="str">
        <f>VLOOKUP(A316,Dataset!A:L,4,FALSE)</f>
        <v>Slip-ons</v>
      </c>
      <c r="E316" s="3">
        <f>VLOOKUP(A316,Dataset!A:L,8,FALSE)</f>
        <v>0</v>
      </c>
      <c r="F316" s="3">
        <f>VLOOKUP(A316,Dataset!A:L,12,FALSE)</f>
        <v>1148.06</v>
      </c>
    </row>
    <row r="317" spans="1:6">
      <c r="A317" s="3">
        <v>1315</v>
      </c>
      <c r="B317" s="3" t="str">
        <f>VLOOKUP(A317,Dataset!A:L,2,FALSE)</f>
        <v>Mark Gonzales</v>
      </c>
      <c r="C317" s="3" t="str">
        <f>VLOOKUP(A317,Dataset!A:L,3,FALSE)</f>
        <v>Jeans</v>
      </c>
      <c r="D317" s="3" t="str">
        <f>VLOOKUP(A317,Dataset!A:L,4,FALSE)</f>
        <v>Boyfriend Jeans</v>
      </c>
      <c r="E317" s="3">
        <f>VLOOKUP(A317,Dataset!A:L,8,FALSE)</f>
        <v>0</v>
      </c>
      <c r="F317" s="3">
        <f>VLOOKUP(A317,Dataset!A:L,12,FALSE)</f>
        <v>-279.01</v>
      </c>
    </row>
    <row r="318" spans="1:6">
      <c r="A318" s="3">
        <v>1316</v>
      </c>
      <c r="B318" s="3" t="str">
        <f>VLOOKUP(A318,Dataset!A:L,2,FALSE)</f>
        <v>Theresa Wiggins</v>
      </c>
      <c r="C318" s="3" t="str">
        <f>VLOOKUP(A318,Dataset!A:L,3,FALSE)</f>
        <v>T-Shirts</v>
      </c>
      <c r="D318" s="3" t="str">
        <f>VLOOKUP(A318,Dataset!A:L,4,FALSE)</f>
        <v>Crop Top</v>
      </c>
      <c r="E318" s="3">
        <f>VLOOKUP(A318,Dataset!A:L,8,FALSE)</f>
        <v>0</v>
      </c>
      <c r="F318" s="3">
        <f>VLOOKUP(A318,Dataset!A:L,12,FALSE)</f>
        <v>-177.6</v>
      </c>
    </row>
    <row r="319" spans="1:6">
      <c r="A319" s="3">
        <v>1317</v>
      </c>
      <c r="B319" s="3" t="str">
        <f>VLOOKUP(A319,Dataset!A:L,2,FALSE)</f>
        <v>Mitchell Gomez</v>
      </c>
      <c r="C319" s="3" t="str">
        <f>VLOOKUP(A319,Dataset!A:L,3,FALSE)</f>
        <v>Accessories</v>
      </c>
      <c r="D319" s="3" t="str">
        <f>VLOOKUP(A319,Dataset!A:L,4,FALSE)</f>
        <v>Watches</v>
      </c>
      <c r="E319" s="3">
        <f>VLOOKUP(A319,Dataset!A:L,8,FALSE)</f>
        <v>0</v>
      </c>
      <c r="F319" s="3">
        <f>VLOOKUP(A319,Dataset!A:L,12,FALSE)</f>
        <v>-476.45</v>
      </c>
    </row>
    <row r="320" spans="1:6">
      <c r="A320" s="3">
        <v>1318</v>
      </c>
      <c r="B320" s="3" t="str">
        <f>VLOOKUP(A320,Dataset!A:L,2,FALSE)</f>
        <v>Tony Reynolds</v>
      </c>
      <c r="C320" s="3" t="str">
        <f>VLOOKUP(A320,Dataset!A:L,3,FALSE)</f>
        <v>Accessories</v>
      </c>
      <c r="D320" s="3" t="str">
        <f>VLOOKUP(A320,Dataset!A:L,4,FALSE)</f>
        <v>Belts</v>
      </c>
      <c r="E320" s="3">
        <f>VLOOKUP(A320,Dataset!A:L,8,FALSE)</f>
        <v>0</v>
      </c>
      <c r="F320" s="3">
        <f>VLOOKUP(A320,Dataset!A:L,12,FALSE)</f>
        <v>1830.14</v>
      </c>
    </row>
    <row r="321" spans="1:6">
      <c r="A321" s="3">
        <v>1319</v>
      </c>
      <c r="B321" s="3" t="str">
        <f>VLOOKUP(A321,Dataset!A:L,2,FALSE)</f>
        <v>Kristine Byrd</v>
      </c>
      <c r="C321" s="3" t="str">
        <f>VLOOKUP(A321,Dataset!A:L,3,FALSE)</f>
        <v>Dresses</v>
      </c>
      <c r="D321" s="3" t="str">
        <f>VLOOKUP(A321,Dataset!A:L,4,FALSE)</f>
        <v>Bodycon</v>
      </c>
      <c r="E321" s="3">
        <f>VLOOKUP(A321,Dataset!A:L,8,FALSE)</f>
        <v>0</v>
      </c>
      <c r="F321" s="3">
        <f>VLOOKUP(A321,Dataset!A:L,12,FALSE)</f>
        <v>-66.17</v>
      </c>
    </row>
    <row r="322" spans="1:6">
      <c r="A322" s="3">
        <v>1320</v>
      </c>
      <c r="B322" s="3" t="str">
        <f>VLOOKUP(A322,Dataset!A:L,2,FALSE)</f>
        <v>Mark Murray</v>
      </c>
      <c r="C322" s="3" t="str">
        <f>VLOOKUP(A322,Dataset!A:L,3,FALSE)</f>
        <v>Accessories</v>
      </c>
      <c r="D322" s="3" t="str">
        <f>VLOOKUP(A322,Dataset!A:L,4,FALSE)</f>
        <v>Belts</v>
      </c>
      <c r="E322" s="3">
        <f>VLOOKUP(A322,Dataset!A:L,8,FALSE)</f>
        <v>0</v>
      </c>
      <c r="F322" s="3">
        <f>VLOOKUP(A322,Dataset!A:L,12,FALSE)</f>
        <v>2011.4</v>
      </c>
    </row>
    <row r="323" spans="1:6">
      <c r="A323" s="3">
        <v>1321</v>
      </c>
      <c r="B323" s="3" t="str">
        <f>VLOOKUP(A323,Dataset!A:L,2,FALSE)</f>
        <v>Michael Velazquez</v>
      </c>
      <c r="C323" s="3" t="str">
        <f>VLOOKUP(A323,Dataset!A:L,3,FALSE)</f>
        <v>Jackets</v>
      </c>
      <c r="D323" s="3" t="str">
        <f>VLOOKUP(A323,Dataset!A:L,4,FALSE)</f>
        <v>Leather Jacket</v>
      </c>
      <c r="E323" s="3">
        <f>VLOOKUP(A323,Dataset!A:L,8,FALSE)</f>
        <v>0</v>
      </c>
      <c r="F323" s="3">
        <f>VLOOKUP(A323,Dataset!A:L,12,FALSE)</f>
        <v>632.23</v>
      </c>
    </row>
    <row r="324" spans="1:6">
      <c r="A324" s="3">
        <v>1322</v>
      </c>
      <c r="B324" s="3" t="str">
        <f>VLOOKUP(A324,Dataset!A:L,2,FALSE)</f>
        <v>Lori Benson</v>
      </c>
      <c r="C324" s="3" t="str">
        <f>VLOOKUP(A324,Dataset!A:L,3,FALSE)</f>
        <v>T-Shirts</v>
      </c>
      <c r="D324" s="3" t="str">
        <f>VLOOKUP(A324,Dataset!A:L,4,FALSE)</f>
        <v>Classic Tee</v>
      </c>
      <c r="E324" s="3">
        <f>VLOOKUP(A324,Dataset!A:L,8,FALSE)</f>
        <v>0</v>
      </c>
      <c r="F324" s="3">
        <f>VLOOKUP(A324,Dataset!A:L,12,FALSE)</f>
        <v>822.46</v>
      </c>
    </row>
    <row r="325" spans="1:6">
      <c r="A325" s="3">
        <v>1323</v>
      </c>
      <c r="B325" s="3" t="str">
        <f>VLOOKUP(A325,Dataset!A:L,2,FALSE)</f>
        <v>Kimberly Flores</v>
      </c>
      <c r="C325" s="3" t="str">
        <f>VLOOKUP(A325,Dataset!A:L,3,FALSE)</f>
        <v>Jackets</v>
      </c>
      <c r="D325" s="3" t="str">
        <f>VLOOKUP(A325,Dataset!A:L,4,FALSE)</f>
        <v>Puffer Coat</v>
      </c>
      <c r="E325" s="3">
        <f>VLOOKUP(A325,Dataset!A:L,8,FALSE)</f>
        <v>0</v>
      </c>
      <c r="F325" s="3">
        <f>VLOOKUP(A325,Dataset!A:L,12,FALSE)</f>
        <v>-96.6</v>
      </c>
    </row>
    <row r="326" spans="1:6">
      <c r="A326" s="3">
        <v>1324</v>
      </c>
      <c r="B326" s="3" t="str">
        <f>VLOOKUP(A326,Dataset!A:L,2,FALSE)</f>
        <v>Mike Rhodes</v>
      </c>
      <c r="C326" s="3" t="str">
        <f>VLOOKUP(A326,Dataset!A:L,3,FALSE)</f>
        <v>Jackets</v>
      </c>
      <c r="D326" s="3" t="str">
        <f>VLOOKUP(A326,Dataset!A:L,4,FALSE)</f>
        <v>Bomber Jacket</v>
      </c>
      <c r="E326" s="3">
        <f>VLOOKUP(A326,Dataset!A:L,8,FALSE)</f>
        <v>0</v>
      </c>
      <c r="F326" s="3">
        <f>VLOOKUP(A326,Dataset!A:L,12,FALSE)</f>
        <v>-610.52</v>
      </c>
    </row>
    <row r="327" spans="1:6">
      <c r="A327" s="3">
        <v>1325</v>
      </c>
      <c r="B327" s="3" t="str">
        <f>VLOOKUP(A327,Dataset!A:L,2,FALSE)</f>
        <v>Teresa Gilbert</v>
      </c>
      <c r="C327" s="3" t="str">
        <f>VLOOKUP(A327,Dataset!A:L,3,FALSE)</f>
        <v>Jeans</v>
      </c>
      <c r="D327" s="3" t="str">
        <f>VLOOKUP(A327,Dataset!A:L,4,FALSE)</f>
        <v>Ripped Denim</v>
      </c>
      <c r="E327" s="3">
        <f>VLOOKUP(A327,Dataset!A:L,8,FALSE)</f>
        <v>0</v>
      </c>
      <c r="F327" s="3">
        <f>VLOOKUP(A327,Dataset!A:L,12,FALSE)</f>
        <v>1435.03</v>
      </c>
    </row>
    <row r="328" spans="1:6">
      <c r="A328" s="3">
        <v>1326</v>
      </c>
      <c r="B328" s="3" t="str">
        <f>VLOOKUP(A328,Dataset!A:L,2,FALSE)</f>
        <v>Theodore Sanchez</v>
      </c>
      <c r="C328" s="3" t="str">
        <f>VLOOKUP(A328,Dataset!A:L,3,FALSE)</f>
        <v>Dresses</v>
      </c>
      <c r="D328" s="3" t="str">
        <f>VLOOKUP(A328,Dataset!A:L,4,FALSE)</f>
        <v>Casual Midi</v>
      </c>
      <c r="E328" s="3">
        <f>VLOOKUP(A328,Dataset!A:L,8,FALSE)</f>
        <v>0</v>
      </c>
      <c r="F328" s="3">
        <f>VLOOKUP(A328,Dataset!A:L,12,FALSE)</f>
        <v>1404.45</v>
      </c>
    </row>
    <row r="329" spans="1:6">
      <c r="A329" s="3">
        <v>1327</v>
      </c>
      <c r="B329" s="3" t="str">
        <f>VLOOKUP(A329,Dataset!A:L,2,FALSE)</f>
        <v>Sarah Sosa</v>
      </c>
      <c r="C329" s="3" t="str">
        <f>VLOOKUP(A329,Dataset!A:L,3,FALSE)</f>
        <v>Shoes</v>
      </c>
      <c r="D329" s="3" t="str">
        <f>VLOOKUP(A329,Dataset!A:L,4,FALSE)</f>
        <v>Slip-ons</v>
      </c>
      <c r="E329" s="3">
        <f>VLOOKUP(A329,Dataset!A:L,8,FALSE)</f>
        <v>0</v>
      </c>
      <c r="F329" s="3">
        <f>VLOOKUP(A329,Dataset!A:L,12,FALSE)</f>
        <v>2021.54</v>
      </c>
    </row>
    <row r="330" spans="1:6">
      <c r="A330" s="3">
        <v>1328</v>
      </c>
      <c r="B330" s="3" t="str">
        <f>VLOOKUP(A330,Dataset!A:L,2,FALSE)</f>
        <v>Christine Drake</v>
      </c>
      <c r="C330" s="3" t="str">
        <f>VLOOKUP(A330,Dataset!A:L,3,FALSE)</f>
        <v>Shoes</v>
      </c>
      <c r="D330" s="3" t="str">
        <f>VLOOKUP(A330,Dataset!A:L,4,FALSE)</f>
        <v>Boots</v>
      </c>
      <c r="E330" s="3">
        <f>VLOOKUP(A330,Dataset!A:L,8,FALSE)</f>
        <v>5720.42</v>
      </c>
      <c r="F330" s="3">
        <f>VLOOKUP(A330,Dataset!A:L,12,FALSE)</f>
        <v>2269.54</v>
      </c>
    </row>
    <row r="331" spans="1:6">
      <c r="A331" s="3">
        <v>1329</v>
      </c>
      <c r="B331" s="3" t="str">
        <f>VLOOKUP(A331,Dataset!A:L,2,FALSE)</f>
        <v>Eric Medina</v>
      </c>
      <c r="C331" s="3" t="str">
        <f>VLOOKUP(A331,Dataset!A:L,3,FALSE)</f>
        <v>T-Shirts</v>
      </c>
      <c r="D331" s="3" t="str">
        <f>VLOOKUP(A331,Dataset!A:L,4,FALSE)</f>
        <v>Graphic Tee</v>
      </c>
      <c r="E331" s="3">
        <f>VLOOKUP(A331,Dataset!A:L,8,FALSE)</f>
        <v>0</v>
      </c>
      <c r="F331" s="3">
        <f>VLOOKUP(A331,Dataset!A:L,12,FALSE)</f>
        <v>1667.02</v>
      </c>
    </row>
    <row r="332" spans="1:6">
      <c r="A332" s="3">
        <v>1330</v>
      </c>
      <c r="B332" s="3" t="str">
        <f>VLOOKUP(A332,Dataset!A:L,2,FALSE)</f>
        <v>Joseph Sims</v>
      </c>
      <c r="C332" s="3" t="str">
        <f>VLOOKUP(A332,Dataset!A:L,3,FALSE)</f>
        <v>Dresses</v>
      </c>
      <c r="D332" s="3" t="str">
        <f>VLOOKUP(A332,Dataset!A:L,4,FALSE)</f>
        <v>Maxi Dress</v>
      </c>
      <c r="E332" s="3">
        <f>VLOOKUP(A332,Dataset!A:L,8,FALSE)</f>
        <v>0</v>
      </c>
      <c r="F332" s="3">
        <f>VLOOKUP(A332,Dataset!A:L,12,FALSE)</f>
        <v>-587.38</v>
      </c>
    </row>
    <row r="333" spans="1:6">
      <c r="A333" s="3">
        <v>1331</v>
      </c>
      <c r="B333" s="3" t="str">
        <f>VLOOKUP(A333,Dataset!A:L,2,FALSE)</f>
        <v>Gwendolyn Guerrero</v>
      </c>
      <c r="C333" s="3" t="str">
        <f>VLOOKUP(A333,Dataset!A:L,3,FALSE)</f>
        <v>Accessories</v>
      </c>
      <c r="D333" s="3" t="str">
        <f>VLOOKUP(A333,Dataset!A:L,4,FALSE)</f>
        <v>Belts</v>
      </c>
      <c r="E333" s="3">
        <f>VLOOKUP(A333,Dataset!A:L,8,FALSE)</f>
        <v>0</v>
      </c>
      <c r="F333" s="3">
        <f>VLOOKUP(A333,Dataset!A:L,12,FALSE)</f>
        <v>1301.18</v>
      </c>
    </row>
    <row r="334" spans="1:6">
      <c r="A334" s="3">
        <v>1332</v>
      </c>
      <c r="B334" s="3" t="str">
        <f>VLOOKUP(A334,Dataset!A:L,2,FALSE)</f>
        <v>Chelsea Brown</v>
      </c>
      <c r="C334" s="3" t="str">
        <f>VLOOKUP(A334,Dataset!A:L,3,FALSE)</f>
        <v>T-Shirts</v>
      </c>
      <c r="D334" s="3" t="str">
        <f>VLOOKUP(A334,Dataset!A:L,4,FALSE)</f>
        <v>Graphic Tee</v>
      </c>
      <c r="E334" s="3">
        <f>VLOOKUP(A334,Dataset!A:L,8,FALSE)</f>
        <v>0</v>
      </c>
      <c r="F334" s="3">
        <f>VLOOKUP(A334,Dataset!A:L,12,FALSE)</f>
        <v>2301.09</v>
      </c>
    </row>
    <row r="335" spans="1:6">
      <c r="A335" s="3">
        <v>1028</v>
      </c>
      <c r="B335" s="3" t="str">
        <f>VLOOKUP(A335,Dataset!A:L,2,FALSE)</f>
        <v>Felicia Orozco</v>
      </c>
      <c r="C335" s="3" t="str">
        <f>VLOOKUP(A335,Dataset!A:L,3,FALSE)</f>
        <v>T-Shirts</v>
      </c>
      <c r="D335" s="3" t="str">
        <f>VLOOKUP(A335,Dataset!A:L,4,FALSE)</f>
        <v>Classic Tee</v>
      </c>
      <c r="E335" s="3">
        <f>VLOOKUP(A335,Dataset!A:L,8,FALSE)</f>
        <v>0</v>
      </c>
      <c r="F335" s="3">
        <f>VLOOKUP(A335,Dataset!A:L,12,FALSE)</f>
        <v>2060.0300000000002</v>
      </c>
    </row>
    <row r="336" spans="1:6">
      <c r="A336" s="3">
        <v>1334</v>
      </c>
      <c r="B336" s="3" t="str">
        <f>VLOOKUP(A336,Dataset!A:L,2,FALSE)</f>
        <v>Russell Douglas</v>
      </c>
      <c r="C336" s="3" t="str">
        <f>VLOOKUP(A336,Dataset!A:L,3,FALSE)</f>
        <v>Dresses</v>
      </c>
      <c r="D336" s="3" t="str">
        <f>VLOOKUP(A336,Dataset!A:L,4,FALSE)</f>
        <v>Maxi Dress</v>
      </c>
      <c r="E336" s="3">
        <f>VLOOKUP(A336,Dataset!A:L,8,FALSE)</f>
        <v>0</v>
      </c>
      <c r="F336" s="3">
        <f>VLOOKUP(A336,Dataset!A:L,12,FALSE)</f>
        <v>652.87</v>
      </c>
    </row>
    <row r="337" spans="1:6">
      <c r="A337" s="3">
        <v>1335</v>
      </c>
      <c r="B337" s="3" t="str">
        <f>VLOOKUP(A337,Dataset!A:L,2,FALSE)</f>
        <v>Kristen Drake</v>
      </c>
      <c r="C337" s="3" t="str">
        <f>VLOOKUP(A337,Dataset!A:L,3,FALSE)</f>
        <v>Shoes</v>
      </c>
      <c r="D337" s="3" t="str">
        <f>VLOOKUP(A337,Dataset!A:L,4,FALSE)</f>
        <v>Slip-ons</v>
      </c>
      <c r="E337" s="3">
        <f>VLOOKUP(A337,Dataset!A:L,8,FALSE)</f>
        <v>0</v>
      </c>
      <c r="F337" s="3">
        <f>VLOOKUP(A337,Dataset!A:L,12,FALSE)</f>
        <v>-815.88</v>
      </c>
    </row>
    <row r="338" spans="1:6">
      <c r="A338" s="3">
        <v>1336</v>
      </c>
      <c r="B338" s="3" t="str">
        <f>VLOOKUP(A338,Dataset!A:L,2,FALSE)</f>
        <v>Katie Brown</v>
      </c>
      <c r="C338" s="3" t="str">
        <f>VLOOKUP(A338,Dataset!A:L,3,FALSE)</f>
        <v>Jackets</v>
      </c>
      <c r="D338" s="3" t="str">
        <f>VLOOKUP(A338,Dataset!A:L,4,FALSE)</f>
        <v>Denim Jacket</v>
      </c>
      <c r="E338" s="3">
        <f>VLOOKUP(A338,Dataset!A:L,8,FALSE)</f>
        <v>0</v>
      </c>
      <c r="F338" s="3">
        <f>VLOOKUP(A338,Dataset!A:L,12,FALSE)</f>
        <v>2000.91</v>
      </c>
    </row>
    <row r="339" spans="1:6">
      <c r="A339" s="3">
        <v>1337</v>
      </c>
      <c r="B339" s="3" t="str">
        <f>VLOOKUP(A339,Dataset!A:L,2,FALSE)</f>
        <v>Michelle Russell</v>
      </c>
      <c r="C339" s="3" t="str">
        <f>VLOOKUP(A339,Dataset!A:L,3,FALSE)</f>
        <v>Jackets</v>
      </c>
      <c r="D339" s="3" t="str">
        <f>VLOOKUP(A339,Dataset!A:L,4,FALSE)</f>
        <v>Denim Jacket</v>
      </c>
      <c r="E339" s="3">
        <f>VLOOKUP(A339,Dataset!A:L,8,FALSE)</f>
        <v>-3704.42</v>
      </c>
      <c r="F339" s="3">
        <f>VLOOKUP(A339,Dataset!A:L,12,FALSE)</f>
        <v>716.16</v>
      </c>
    </row>
    <row r="340" spans="1:6">
      <c r="A340" s="3">
        <v>1338</v>
      </c>
      <c r="B340" s="3" t="str">
        <f>VLOOKUP(A340,Dataset!A:L,2,FALSE)</f>
        <v>Charles Aguilar</v>
      </c>
      <c r="C340" s="3" t="str">
        <f>VLOOKUP(A340,Dataset!A:L,3,FALSE)</f>
        <v>T-Shirts</v>
      </c>
      <c r="D340" s="3" t="str">
        <f>VLOOKUP(A340,Dataset!A:L,4,FALSE)</f>
        <v>Graphic Tee</v>
      </c>
      <c r="E340" s="3">
        <f>VLOOKUP(A340,Dataset!A:L,8,FALSE)</f>
        <v>0</v>
      </c>
      <c r="F340" s="3">
        <f>VLOOKUP(A340,Dataset!A:L,12,FALSE)</f>
        <v>415.06</v>
      </c>
    </row>
    <row r="341" spans="1:6">
      <c r="A341" s="3">
        <v>1339</v>
      </c>
      <c r="B341" s="3" t="str">
        <f>VLOOKUP(A341,Dataset!A:L,2,FALSE)</f>
        <v>Emily Christensen</v>
      </c>
      <c r="C341" s="3" t="str">
        <f>VLOOKUP(A341,Dataset!A:L,3,FALSE)</f>
        <v>Dresses</v>
      </c>
      <c r="D341" s="3" t="str">
        <f>VLOOKUP(A341,Dataset!A:L,4,FALSE)</f>
        <v>Maxi Dress</v>
      </c>
      <c r="E341" s="3">
        <f>VLOOKUP(A341,Dataset!A:L,8,FALSE)</f>
        <v>0</v>
      </c>
      <c r="F341" s="3">
        <f>VLOOKUP(A341,Dataset!A:L,12,FALSE)</f>
        <v>2552.65</v>
      </c>
    </row>
    <row r="342" spans="1:6">
      <c r="A342" s="3">
        <v>1340</v>
      </c>
      <c r="B342" s="3" t="str">
        <f>VLOOKUP(A342,Dataset!A:L,2,FALSE)</f>
        <v>Annette Robinson</v>
      </c>
      <c r="C342" s="3" t="str">
        <f>VLOOKUP(A342,Dataset!A:L,3,FALSE)</f>
        <v>Jeans</v>
      </c>
      <c r="D342" s="3" t="str">
        <f>VLOOKUP(A342,Dataset!A:L,4,FALSE)</f>
        <v>Straight Cut</v>
      </c>
      <c r="E342" s="3">
        <f>VLOOKUP(A342,Dataset!A:L,8,FALSE)</f>
        <v>0</v>
      </c>
      <c r="F342" s="3">
        <f>VLOOKUP(A342,Dataset!A:L,12,FALSE)</f>
        <v>1282.27</v>
      </c>
    </row>
    <row r="343" spans="1:6">
      <c r="A343" s="3">
        <v>1341</v>
      </c>
      <c r="B343" s="3" t="str">
        <f>VLOOKUP(A343,Dataset!A:L,2,FALSE)</f>
        <v>William White</v>
      </c>
      <c r="C343" s="3" t="str">
        <f>VLOOKUP(A343,Dataset!A:L,3,FALSE)</f>
        <v>Shoes</v>
      </c>
      <c r="D343" s="3" t="str">
        <f>VLOOKUP(A343,Dataset!A:L,4,FALSE)</f>
        <v>Slip-ons</v>
      </c>
      <c r="E343" s="3">
        <f>VLOOKUP(A343,Dataset!A:L,8,FALSE)</f>
        <v>737.77</v>
      </c>
      <c r="F343" s="3">
        <f>VLOOKUP(A343,Dataset!A:L,12,FALSE)</f>
        <v>2634.42</v>
      </c>
    </row>
    <row r="344" spans="1:6">
      <c r="A344" s="3">
        <v>1342</v>
      </c>
      <c r="B344" s="3" t="str">
        <f>VLOOKUP(A344,Dataset!A:L,2,FALSE)</f>
        <v>Chloe Martinez</v>
      </c>
      <c r="C344" s="3" t="str">
        <f>VLOOKUP(A344,Dataset!A:L,3,FALSE)</f>
        <v>Dresses</v>
      </c>
      <c r="D344" s="3" t="str">
        <f>VLOOKUP(A344,Dataset!A:L,4,FALSE)</f>
        <v>Wrap Dress</v>
      </c>
      <c r="E344" s="3">
        <f>VLOOKUP(A344,Dataset!A:L,8,FALSE)</f>
        <v>0</v>
      </c>
      <c r="F344" s="3">
        <f>VLOOKUP(A344,Dataset!A:L,12,FALSE)</f>
        <v>1395.82</v>
      </c>
    </row>
    <row r="345" spans="1:6">
      <c r="A345" s="3">
        <v>1343</v>
      </c>
      <c r="B345" s="3" t="str">
        <f>VLOOKUP(A345,Dataset!A:L,2,FALSE)</f>
        <v>Catherine Barnett</v>
      </c>
      <c r="C345" s="3" t="str">
        <f>VLOOKUP(A345,Dataset!A:L,3,FALSE)</f>
        <v>Jeans</v>
      </c>
      <c r="D345" s="3" t="str">
        <f>VLOOKUP(A345,Dataset!A:L,4,FALSE)</f>
        <v>Ripped Denim</v>
      </c>
      <c r="E345" s="3">
        <f>VLOOKUP(A345,Dataset!A:L,8,FALSE)</f>
        <v>0</v>
      </c>
      <c r="F345" s="3">
        <f>VLOOKUP(A345,Dataset!A:L,12,FALSE)</f>
        <v>730.98</v>
      </c>
    </row>
    <row r="346" spans="1:6">
      <c r="A346" s="3">
        <v>1344</v>
      </c>
      <c r="B346" s="3" t="str">
        <f>VLOOKUP(A346,Dataset!A:L,2,FALSE)</f>
        <v>Jason Dixon</v>
      </c>
      <c r="C346" s="3" t="str">
        <f>VLOOKUP(A346,Dataset!A:L,3,FALSE)</f>
        <v>Jeans</v>
      </c>
      <c r="D346" s="3" t="str">
        <f>VLOOKUP(A346,Dataset!A:L,4,FALSE)</f>
        <v>Straight Cut</v>
      </c>
      <c r="E346" s="3">
        <f>VLOOKUP(A346,Dataset!A:L,8,FALSE)</f>
        <v>0</v>
      </c>
      <c r="F346" s="3">
        <f>VLOOKUP(A346,Dataset!A:L,12,FALSE)</f>
        <v>2006.17</v>
      </c>
    </row>
    <row r="347" spans="1:6">
      <c r="A347" s="3">
        <v>1040</v>
      </c>
      <c r="B347" s="3" t="str">
        <f>VLOOKUP(A347,Dataset!A:L,2,FALSE)</f>
        <v>Angel Nelson</v>
      </c>
      <c r="C347" s="3" t="str">
        <f>VLOOKUP(A347,Dataset!A:L,3,FALSE)</f>
        <v>Jackets</v>
      </c>
      <c r="D347" s="3" t="str">
        <f>VLOOKUP(A347,Dataset!A:L,4,FALSE)</f>
        <v>Denim Jacket</v>
      </c>
      <c r="E347" s="3">
        <f>VLOOKUP(A347,Dataset!A:L,8,FALSE)</f>
        <v>0</v>
      </c>
      <c r="F347" s="3">
        <f>VLOOKUP(A347,Dataset!A:L,12,FALSE)</f>
        <v>693.6</v>
      </c>
    </row>
    <row r="348" spans="1:6">
      <c r="A348" s="3">
        <v>1346</v>
      </c>
      <c r="B348" s="3" t="str">
        <f>VLOOKUP(A348,Dataset!A:L,2,FALSE)</f>
        <v>Leah Gonzalez</v>
      </c>
      <c r="C348" s="3" t="str">
        <f>VLOOKUP(A348,Dataset!A:L,3,FALSE)</f>
        <v>Shoes</v>
      </c>
      <c r="D348" s="3" t="str">
        <f>VLOOKUP(A348,Dataset!A:L,4,FALSE)</f>
        <v>Slip-ons</v>
      </c>
      <c r="E348" s="3">
        <f>VLOOKUP(A348,Dataset!A:L,8,FALSE)</f>
        <v>0</v>
      </c>
      <c r="F348" s="3">
        <f>VLOOKUP(A348,Dataset!A:L,12,FALSE)</f>
        <v>-891.76</v>
      </c>
    </row>
    <row r="349" spans="1:6">
      <c r="A349" s="3">
        <v>1005</v>
      </c>
      <c r="B349" s="3" t="str">
        <f>VLOOKUP(A349,Dataset!A:L,2,FALSE)</f>
        <v>Samuel Miller</v>
      </c>
      <c r="C349" s="3" t="str">
        <f>VLOOKUP(A349,Dataset!A:L,3,FALSE)</f>
        <v>T-Shirts</v>
      </c>
      <c r="D349" s="3" t="str">
        <f>VLOOKUP(A349,Dataset!A:L,4,FALSE)</f>
        <v>Crop Top</v>
      </c>
      <c r="E349" s="3">
        <f>VLOOKUP(A349,Dataset!A:L,8,FALSE)</f>
        <v>0</v>
      </c>
      <c r="F349" s="3">
        <f>VLOOKUP(A349,Dataset!A:L,12,FALSE)</f>
        <v>1477.73</v>
      </c>
    </row>
    <row r="350" spans="1:6">
      <c r="A350" s="3">
        <v>1348</v>
      </c>
      <c r="B350" s="3" t="str">
        <f>VLOOKUP(A350,Dataset!A:L,2,FALSE)</f>
        <v>Justin Bowen</v>
      </c>
      <c r="C350" s="3" t="str">
        <f>VLOOKUP(A350,Dataset!A:L,3,FALSE)</f>
        <v>T-Shirts</v>
      </c>
      <c r="D350" s="3" t="str">
        <f>VLOOKUP(A350,Dataset!A:L,4,FALSE)</f>
        <v>Classic Tee</v>
      </c>
      <c r="E350" s="3">
        <f>VLOOKUP(A350,Dataset!A:L,8,FALSE)</f>
        <v>-414.53</v>
      </c>
      <c r="F350" s="3">
        <f>VLOOKUP(A350,Dataset!A:L,12,FALSE)</f>
        <v>2694.39</v>
      </c>
    </row>
    <row r="351" spans="1:6">
      <c r="A351" s="3">
        <v>1349</v>
      </c>
      <c r="B351" s="3" t="str">
        <f>VLOOKUP(A351,Dataset!A:L,2,FALSE)</f>
        <v>Lisa Henry</v>
      </c>
      <c r="C351" s="3" t="str">
        <f>VLOOKUP(A351,Dataset!A:L,3,FALSE)</f>
        <v>Jackets</v>
      </c>
      <c r="D351" s="3" t="str">
        <f>VLOOKUP(A351,Dataset!A:L,4,FALSE)</f>
        <v>Leather Jacket</v>
      </c>
      <c r="E351" s="3">
        <f>VLOOKUP(A351,Dataset!A:L,8,FALSE)</f>
        <v>0</v>
      </c>
      <c r="F351" s="3">
        <f>VLOOKUP(A351,Dataset!A:L,12,FALSE)</f>
        <v>2085.75</v>
      </c>
    </row>
    <row r="352" spans="1:6">
      <c r="A352" s="3">
        <v>1008</v>
      </c>
      <c r="B352" s="3" t="str">
        <f>VLOOKUP(A352,Dataset!A:L,2,FALSE)</f>
        <v>Marie Fisher</v>
      </c>
      <c r="C352" s="3" t="str">
        <f>VLOOKUP(A352,Dataset!A:L,3,FALSE)</f>
        <v>Accessories</v>
      </c>
      <c r="D352" s="3" t="str">
        <f>VLOOKUP(A352,Dataset!A:L,4,FALSE)</f>
        <v>Sunglasses</v>
      </c>
      <c r="E352" s="3">
        <f>VLOOKUP(A352,Dataset!A:L,8,FALSE)</f>
        <v>0</v>
      </c>
      <c r="F352" s="3">
        <f>VLOOKUP(A352,Dataset!A:L,12,FALSE)</f>
        <v>-886.8</v>
      </c>
    </row>
    <row r="353" spans="1:6">
      <c r="A353" s="3">
        <v>1351</v>
      </c>
      <c r="B353" s="3" t="str">
        <f>VLOOKUP(A353,Dataset!A:L,2,FALSE)</f>
        <v>Brian Edwards</v>
      </c>
      <c r="C353" s="3" t="str">
        <f>VLOOKUP(A353,Dataset!A:L,3,FALSE)</f>
        <v>Shoes</v>
      </c>
      <c r="D353" s="3" t="str">
        <f>VLOOKUP(A353,Dataset!A:L,4,FALSE)</f>
        <v>Slip-ons</v>
      </c>
      <c r="E353" s="3">
        <f>VLOOKUP(A353,Dataset!A:L,8,FALSE)</f>
        <v>0</v>
      </c>
      <c r="F353" s="3">
        <f>VLOOKUP(A353,Dataset!A:L,12,FALSE)</f>
        <v>2621.66</v>
      </c>
    </row>
    <row r="354" spans="1:6">
      <c r="A354" s="3">
        <v>1034</v>
      </c>
      <c r="B354" s="3" t="str">
        <f>VLOOKUP(A354,Dataset!A:L,2,FALSE)</f>
        <v>Nathan Stewart</v>
      </c>
      <c r="C354" s="3" t="str">
        <f>VLOOKUP(A354,Dataset!A:L,3,FALSE)</f>
        <v>Jackets</v>
      </c>
      <c r="D354" s="3" t="str">
        <f>VLOOKUP(A354,Dataset!A:L,4,FALSE)</f>
        <v>Puffer Coat</v>
      </c>
      <c r="E354" s="3">
        <f>VLOOKUP(A354,Dataset!A:L,8,FALSE)</f>
        <v>0</v>
      </c>
      <c r="F354" s="3">
        <f>VLOOKUP(A354,Dataset!A:L,12,FALSE)</f>
        <v>-282.68</v>
      </c>
    </row>
    <row r="355" spans="1:6">
      <c r="A355" s="3">
        <v>1042</v>
      </c>
      <c r="B355" s="3" t="str">
        <f>VLOOKUP(A355,Dataset!A:L,2,FALSE)</f>
        <v>Richard Williams</v>
      </c>
      <c r="C355" s="3" t="str">
        <f>VLOOKUP(A355,Dataset!A:L,3,FALSE)</f>
        <v>Dresses</v>
      </c>
      <c r="D355" s="3" t="str">
        <f>VLOOKUP(A355,Dataset!A:L,4,FALSE)</f>
        <v>Bodycon</v>
      </c>
      <c r="E355" s="3">
        <f>VLOOKUP(A355,Dataset!A:L,8,FALSE)</f>
        <v>0</v>
      </c>
      <c r="F355" s="3">
        <f>VLOOKUP(A355,Dataset!A:L,12,FALSE)</f>
        <v>283.39</v>
      </c>
    </row>
    <row r="356" spans="1:6">
      <c r="A356" s="3">
        <v>1354</v>
      </c>
      <c r="B356" s="3" t="str">
        <f>VLOOKUP(A356,Dataset!A:L,2,FALSE)</f>
        <v>Mr. George Cooper</v>
      </c>
      <c r="C356" s="3" t="str">
        <f>VLOOKUP(A356,Dataset!A:L,3,FALSE)</f>
        <v>Jeans</v>
      </c>
      <c r="D356" s="3" t="str">
        <f>VLOOKUP(A356,Dataset!A:L,4,FALSE)</f>
        <v>Straight Cut</v>
      </c>
      <c r="E356" s="3">
        <f>VLOOKUP(A356,Dataset!A:L,8,FALSE)</f>
        <v>0</v>
      </c>
      <c r="F356" s="3">
        <f>VLOOKUP(A356,Dataset!A:L,12,FALSE)</f>
        <v>-678.38</v>
      </c>
    </row>
    <row r="357" spans="1:6">
      <c r="A357" s="3">
        <v>1355</v>
      </c>
      <c r="B357" s="3" t="str">
        <f>VLOOKUP(A357,Dataset!A:L,2,FALSE)</f>
        <v>Ryan James</v>
      </c>
      <c r="C357" s="3" t="str">
        <f>VLOOKUP(A357,Dataset!A:L,3,FALSE)</f>
        <v>Dresses</v>
      </c>
      <c r="D357" s="3" t="str">
        <f>VLOOKUP(A357,Dataset!A:L,4,FALSE)</f>
        <v>Bodycon</v>
      </c>
      <c r="E357" s="3">
        <f>VLOOKUP(A357,Dataset!A:L,8,FALSE)</f>
        <v>864.85</v>
      </c>
      <c r="F357" s="3">
        <f>VLOOKUP(A357,Dataset!A:L,12,FALSE)</f>
        <v>698.05</v>
      </c>
    </row>
    <row r="358" spans="1:6">
      <c r="A358" s="3">
        <v>1356</v>
      </c>
      <c r="B358" s="3" t="str">
        <f>VLOOKUP(A358,Dataset!A:L,2,FALSE)</f>
        <v>Veronica Cordova</v>
      </c>
      <c r="C358" s="3" t="str">
        <f>VLOOKUP(A358,Dataset!A:L,3,FALSE)</f>
        <v>Jackets</v>
      </c>
      <c r="D358" s="3" t="str">
        <f>VLOOKUP(A358,Dataset!A:L,4,FALSE)</f>
        <v>Denim Jacket</v>
      </c>
      <c r="E358" s="3">
        <f>VLOOKUP(A358,Dataset!A:L,8,FALSE)</f>
        <v>0</v>
      </c>
      <c r="F358" s="3">
        <f>VLOOKUP(A358,Dataset!A:L,12,FALSE)</f>
        <v>428.96</v>
      </c>
    </row>
    <row r="359" spans="1:6">
      <c r="A359" s="3">
        <v>1357</v>
      </c>
      <c r="B359" s="3" t="str">
        <f>VLOOKUP(A359,Dataset!A:L,2,FALSE)</f>
        <v>Jacob Brooks</v>
      </c>
      <c r="C359" s="3" t="str">
        <f>VLOOKUP(A359,Dataset!A:L,3,FALSE)</f>
        <v>Jackets</v>
      </c>
      <c r="D359" s="3" t="str">
        <f>VLOOKUP(A359,Dataset!A:L,4,FALSE)</f>
        <v>Puffer Coat</v>
      </c>
      <c r="E359" s="3">
        <f>VLOOKUP(A359,Dataset!A:L,8,FALSE)</f>
        <v>0</v>
      </c>
      <c r="F359" s="3">
        <f>VLOOKUP(A359,Dataset!A:L,12,FALSE)</f>
        <v>684.88</v>
      </c>
    </row>
    <row r="360" spans="1:6">
      <c r="A360" s="3">
        <v>1358</v>
      </c>
      <c r="B360" s="3" t="str">
        <f>VLOOKUP(A360,Dataset!A:L,2,FALSE)</f>
        <v>Matthew Brown</v>
      </c>
      <c r="C360" s="3" t="str">
        <f>VLOOKUP(A360,Dataset!A:L,3,FALSE)</f>
        <v>Accessories</v>
      </c>
      <c r="D360" s="3" t="str">
        <f>VLOOKUP(A360,Dataset!A:L,4,FALSE)</f>
        <v>Sunglasses</v>
      </c>
      <c r="E360" s="3">
        <f>VLOOKUP(A360,Dataset!A:L,8,FALSE)</f>
        <v>0</v>
      </c>
      <c r="F360" s="3">
        <f>VLOOKUP(A360,Dataset!A:L,12,FALSE)</f>
        <v>1347.26</v>
      </c>
    </row>
    <row r="361" spans="1:6">
      <c r="A361" s="3">
        <v>1359</v>
      </c>
      <c r="B361" s="3" t="str">
        <f>VLOOKUP(A361,Dataset!A:L,2,FALSE)</f>
        <v>Robert Harmon</v>
      </c>
      <c r="C361" s="3" t="str">
        <f>VLOOKUP(A361,Dataset!A:L,3,FALSE)</f>
        <v>T-Shirts</v>
      </c>
      <c r="D361" s="3" t="str">
        <f>VLOOKUP(A361,Dataset!A:L,4,FALSE)</f>
        <v>Crop Top</v>
      </c>
      <c r="E361" s="3">
        <f>VLOOKUP(A361,Dataset!A:L,8,FALSE)</f>
        <v>0</v>
      </c>
      <c r="F361" s="3">
        <f>VLOOKUP(A361,Dataset!A:L,12,FALSE)</f>
        <v>1663.88</v>
      </c>
    </row>
    <row r="362" spans="1:6">
      <c r="A362" s="3">
        <v>1360</v>
      </c>
      <c r="B362" s="3" t="str">
        <f>VLOOKUP(A362,Dataset!A:L,2,FALSE)</f>
        <v>Rebecca Gonzalez</v>
      </c>
      <c r="C362" s="3" t="str">
        <f>VLOOKUP(A362,Dataset!A:L,3,FALSE)</f>
        <v>Jeans</v>
      </c>
      <c r="D362" s="3" t="str">
        <f>VLOOKUP(A362,Dataset!A:L,4,FALSE)</f>
        <v>Boyfriend Jeans</v>
      </c>
      <c r="E362" s="3">
        <f>VLOOKUP(A362,Dataset!A:L,8,FALSE)</f>
        <v>0</v>
      </c>
      <c r="F362" s="3">
        <f>VLOOKUP(A362,Dataset!A:L,12,FALSE)</f>
        <v>1316.73</v>
      </c>
    </row>
    <row r="363" spans="1:6">
      <c r="A363" s="3">
        <v>1361</v>
      </c>
      <c r="B363" s="3" t="str">
        <f>VLOOKUP(A363,Dataset!A:L,2,FALSE)</f>
        <v>Hannah Ball</v>
      </c>
      <c r="C363" s="3" t="str">
        <f>VLOOKUP(A363,Dataset!A:L,3,FALSE)</f>
        <v>T-Shirts</v>
      </c>
      <c r="D363" s="3" t="str">
        <f>VLOOKUP(A363,Dataset!A:L,4,FALSE)</f>
        <v>Classic Tee</v>
      </c>
      <c r="E363" s="3">
        <f>VLOOKUP(A363,Dataset!A:L,8,FALSE)</f>
        <v>0</v>
      </c>
      <c r="F363" s="3">
        <f>VLOOKUP(A363,Dataset!A:L,12,FALSE)</f>
        <v>528.79999999999995</v>
      </c>
    </row>
    <row r="364" spans="1:6">
      <c r="A364" s="3">
        <v>1362</v>
      </c>
      <c r="B364" s="3" t="str">
        <f>VLOOKUP(A364,Dataset!A:L,2,FALSE)</f>
        <v>Krista Wright</v>
      </c>
      <c r="C364" s="3" t="str">
        <f>VLOOKUP(A364,Dataset!A:L,3,FALSE)</f>
        <v>T-Shirts</v>
      </c>
      <c r="D364" s="3" t="str">
        <f>VLOOKUP(A364,Dataset!A:L,4,FALSE)</f>
        <v>Classic Tee</v>
      </c>
      <c r="E364" s="3">
        <f>VLOOKUP(A364,Dataset!A:L,8,FALSE)</f>
        <v>0</v>
      </c>
      <c r="F364" s="3">
        <f>VLOOKUP(A364,Dataset!A:L,12,FALSE)</f>
        <v>-499.33</v>
      </c>
    </row>
    <row r="365" spans="1:6">
      <c r="A365" s="3">
        <v>1363</v>
      </c>
      <c r="B365" s="3" t="str">
        <f>VLOOKUP(A365,Dataset!A:L,2,FALSE)</f>
        <v>Marcus Powell</v>
      </c>
      <c r="C365" s="3" t="str">
        <f>VLOOKUP(A365,Dataset!A:L,3,FALSE)</f>
        <v>Dresses</v>
      </c>
      <c r="D365" s="3" t="str">
        <f>VLOOKUP(A365,Dataset!A:L,4,FALSE)</f>
        <v>Bodycon</v>
      </c>
      <c r="E365" s="3">
        <f>VLOOKUP(A365,Dataset!A:L,8,FALSE)</f>
        <v>0</v>
      </c>
      <c r="F365" s="3">
        <f>VLOOKUP(A365,Dataset!A:L,12,FALSE)</f>
        <v>2143.4</v>
      </c>
    </row>
    <row r="366" spans="1:6">
      <c r="A366" s="3">
        <v>1364</v>
      </c>
      <c r="B366" s="3" t="str">
        <f>VLOOKUP(A366,Dataset!A:L,2,FALSE)</f>
        <v>Leah Madden</v>
      </c>
      <c r="C366" s="3" t="str">
        <f>VLOOKUP(A366,Dataset!A:L,3,FALSE)</f>
        <v>T-Shirts</v>
      </c>
      <c r="D366" s="3" t="str">
        <f>VLOOKUP(A366,Dataset!A:L,4,FALSE)</f>
        <v>Classic Tee</v>
      </c>
      <c r="E366" s="3">
        <f>VLOOKUP(A366,Dataset!A:L,8,FALSE)</f>
        <v>0</v>
      </c>
      <c r="F366" s="3">
        <f>VLOOKUP(A366,Dataset!A:L,12,FALSE)</f>
        <v>1839.35</v>
      </c>
    </row>
    <row r="367" spans="1:6">
      <c r="A367" s="3">
        <v>1365</v>
      </c>
      <c r="B367" s="3" t="str">
        <f>VLOOKUP(A367,Dataset!A:L,2,FALSE)</f>
        <v>Shawn Gardner</v>
      </c>
      <c r="C367" s="3" t="str">
        <f>VLOOKUP(A367,Dataset!A:L,3,FALSE)</f>
        <v>Dresses</v>
      </c>
      <c r="D367" s="3" t="str">
        <f>VLOOKUP(A367,Dataset!A:L,4,FALSE)</f>
        <v>Maxi Dress</v>
      </c>
      <c r="E367" s="3">
        <f>VLOOKUP(A367,Dataset!A:L,8,FALSE)</f>
        <v>0</v>
      </c>
      <c r="F367" s="3">
        <f>VLOOKUP(A367,Dataset!A:L,12,FALSE)</f>
        <v>2757.77</v>
      </c>
    </row>
    <row r="368" spans="1:6">
      <c r="A368" s="3">
        <v>1366</v>
      </c>
      <c r="B368" s="3" t="str">
        <f>VLOOKUP(A368,Dataset!A:L,2,FALSE)</f>
        <v>Karen Nunez</v>
      </c>
      <c r="C368" s="3" t="str">
        <f>VLOOKUP(A368,Dataset!A:L,3,FALSE)</f>
        <v>Dresses</v>
      </c>
      <c r="D368" s="3" t="str">
        <f>VLOOKUP(A368,Dataset!A:L,4,FALSE)</f>
        <v>Bodycon</v>
      </c>
      <c r="E368" s="3">
        <f>VLOOKUP(A368,Dataset!A:L,8,FALSE)</f>
        <v>0</v>
      </c>
      <c r="F368" s="3">
        <f>VLOOKUP(A368,Dataset!A:L,12,FALSE)</f>
        <v>928.57</v>
      </c>
    </row>
    <row r="369" spans="1:6">
      <c r="A369" s="3">
        <v>1367</v>
      </c>
      <c r="B369" s="3" t="str">
        <f>VLOOKUP(A369,Dataset!A:L,2,FALSE)</f>
        <v>Laura Johnson</v>
      </c>
      <c r="C369" s="3" t="str">
        <f>VLOOKUP(A369,Dataset!A:L,3,FALSE)</f>
        <v>Accessories</v>
      </c>
      <c r="D369" s="3" t="str">
        <f>VLOOKUP(A369,Dataset!A:L,4,FALSE)</f>
        <v>Caps</v>
      </c>
      <c r="E369" s="3">
        <f>VLOOKUP(A369,Dataset!A:L,8,FALSE)</f>
        <v>0</v>
      </c>
      <c r="F369" s="3">
        <f>VLOOKUP(A369,Dataset!A:L,12,FALSE)</f>
        <v>2546.35</v>
      </c>
    </row>
    <row r="370" spans="1:6">
      <c r="A370" s="3">
        <v>1368</v>
      </c>
      <c r="B370" s="3" t="str">
        <f>VLOOKUP(A370,Dataset!A:L,2,FALSE)</f>
        <v>Lauren Kaufman</v>
      </c>
      <c r="C370" s="3" t="str">
        <f>VLOOKUP(A370,Dataset!A:L,3,FALSE)</f>
        <v>T-Shirts</v>
      </c>
      <c r="D370" s="3" t="str">
        <f>VLOOKUP(A370,Dataset!A:L,4,FALSE)</f>
        <v>Classic Tee</v>
      </c>
      <c r="E370" s="3">
        <f>VLOOKUP(A370,Dataset!A:L,8,FALSE)</f>
        <v>0</v>
      </c>
      <c r="F370" s="3">
        <f>VLOOKUP(A370,Dataset!A:L,12,FALSE)</f>
        <v>-20.09</v>
      </c>
    </row>
    <row r="371" spans="1:6">
      <c r="A371" s="3">
        <v>1369</v>
      </c>
      <c r="B371" s="3" t="str">
        <f>VLOOKUP(A371,Dataset!A:L,2,FALSE)</f>
        <v>Patricia Pratt</v>
      </c>
      <c r="C371" s="3" t="str">
        <f>VLOOKUP(A371,Dataset!A:L,3,FALSE)</f>
        <v>Accessories</v>
      </c>
      <c r="D371" s="3" t="str">
        <f>VLOOKUP(A371,Dataset!A:L,4,FALSE)</f>
        <v>Caps</v>
      </c>
      <c r="E371" s="3">
        <f>VLOOKUP(A371,Dataset!A:L,8,FALSE)</f>
        <v>0</v>
      </c>
      <c r="F371" s="3">
        <f>VLOOKUP(A371,Dataset!A:L,12,FALSE)</f>
        <v>-844.78</v>
      </c>
    </row>
    <row r="372" spans="1:6">
      <c r="A372" s="3">
        <v>1370</v>
      </c>
      <c r="B372" s="3" t="str">
        <f>VLOOKUP(A372,Dataset!A:L,2,FALSE)</f>
        <v>Brandon Williams</v>
      </c>
      <c r="C372" s="3" t="str">
        <f>VLOOKUP(A372,Dataset!A:L,3,FALSE)</f>
        <v>Dresses</v>
      </c>
      <c r="D372" s="3" t="str">
        <f>VLOOKUP(A372,Dataset!A:L,4,FALSE)</f>
        <v>Bodycon</v>
      </c>
      <c r="E372" s="3">
        <f>VLOOKUP(A372,Dataset!A:L,8,FALSE)</f>
        <v>844.38</v>
      </c>
      <c r="F372" s="3">
        <f>VLOOKUP(A372,Dataset!A:L,12,FALSE)</f>
        <v>212.66</v>
      </c>
    </row>
    <row r="373" spans="1:6">
      <c r="A373" s="3">
        <v>1371</v>
      </c>
      <c r="B373" s="3" t="str">
        <f>VLOOKUP(A373,Dataset!A:L,2,FALSE)</f>
        <v>Christopher Wilson</v>
      </c>
      <c r="C373" s="3" t="str">
        <f>VLOOKUP(A373,Dataset!A:L,3,FALSE)</f>
        <v>Jeans</v>
      </c>
      <c r="D373" s="3" t="str">
        <f>VLOOKUP(A373,Dataset!A:L,4,FALSE)</f>
        <v>Ripped Denim</v>
      </c>
      <c r="E373" s="3">
        <f>VLOOKUP(A373,Dataset!A:L,8,FALSE)</f>
        <v>0</v>
      </c>
      <c r="F373" s="3">
        <f>VLOOKUP(A373,Dataset!A:L,12,FALSE)</f>
        <v>72.959999999999994</v>
      </c>
    </row>
    <row r="374" spans="1:6">
      <c r="A374" s="3">
        <v>1372</v>
      </c>
      <c r="B374" s="3" t="str">
        <f>VLOOKUP(A374,Dataset!A:L,2,FALSE)</f>
        <v>Ryan Gonzalez</v>
      </c>
      <c r="C374" s="3" t="str">
        <f>VLOOKUP(A374,Dataset!A:L,3,FALSE)</f>
        <v>Accessories</v>
      </c>
      <c r="D374" s="3" t="str">
        <f>VLOOKUP(A374,Dataset!A:L,4,FALSE)</f>
        <v>Sunglasses</v>
      </c>
      <c r="E374" s="3">
        <f>VLOOKUP(A374,Dataset!A:L,8,FALSE)</f>
        <v>0</v>
      </c>
      <c r="F374" s="3">
        <f>VLOOKUP(A374,Dataset!A:L,12,FALSE)</f>
        <v>418.89</v>
      </c>
    </row>
    <row r="375" spans="1:6">
      <c r="A375" s="3">
        <v>1373</v>
      </c>
      <c r="B375" s="3" t="str">
        <f>VLOOKUP(A375,Dataset!A:L,2,FALSE)</f>
        <v>Lisa Morton</v>
      </c>
      <c r="C375" s="3" t="str">
        <f>VLOOKUP(A375,Dataset!A:L,3,FALSE)</f>
        <v>Jackets</v>
      </c>
      <c r="D375" s="3" t="str">
        <f>VLOOKUP(A375,Dataset!A:L,4,FALSE)</f>
        <v>Leather Jacket</v>
      </c>
      <c r="E375" s="3">
        <f>VLOOKUP(A375,Dataset!A:L,8,FALSE)</f>
        <v>-5707.96</v>
      </c>
      <c r="F375" s="3">
        <f>VLOOKUP(A375,Dataset!A:L,12,FALSE)</f>
        <v>-892.76</v>
      </c>
    </row>
    <row r="376" spans="1:6">
      <c r="A376" s="3">
        <v>1374</v>
      </c>
      <c r="B376" s="3" t="str">
        <f>VLOOKUP(A376,Dataset!A:L,2,FALSE)</f>
        <v>Nicholas Lee</v>
      </c>
      <c r="C376" s="3" t="str">
        <f>VLOOKUP(A376,Dataset!A:L,3,FALSE)</f>
        <v>T-Shirts</v>
      </c>
      <c r="D376" s="3" t="str">
        <f>VLOOKUP(A376,Dataset!A:L,4,FALSE)</f>
        <v>Classic Tee</v>
      </c>
      <c r="E376" s="3">
        <f>VLOOKUP(A376,Dataset!A:L,8,FALSE)</f>
        <v>0</v>
      </c>
      <c r="F376" s="3">
        <f>VLOOKUP(A376,Dataset!A:L,12,FALSE)</f>
        <v>2519.16</v>
      </c>
    </row>
    <row r="377" spans="1:6">
      <c r="A377" s="3">
        <v>1375</v>
      </c>
      <c r="B377" s="3" t="str">
        <f>VLOOKUP(A377,Dataset!A:L,2,FALSE)</f>
        <v>Kelly Vang</v>
      </c>
      <c r="C377" s="3" t="str">
        <f>VLOOKUP(A377,Dataset!A:L,3,FALSE)</f>
        <v>Jeans</v>
      </c>
      <c r="D377" s="3" t="str">
        <f>VLOOKUP(A377,Dataset!A:L,4,FALSE)</f>
        <v>Straight Cut</v>
      </c>
      <c r="E377" s="3">
        <f>VLOOKUP(A377,Dataset!A:L,8,FALSE)</f>
        <v>0</v>
      </c>
      <c r="F377" s="3">
        <f>VLOOKUP(A377,Dataset!A:L,12,FALSE)</f>
        <v>1318.19</v>
      </c>
    </row>
    <row r="378" spans="1:6">
      <c r="A378" s="3">
        <v>1376</v>
      </c>
      <c r="B378" s="3" t="str">
        <f>VLOOKUP(A378,Dataset!A:L,2,FALSE)</f>
        <v>Megan Smith</v>
      </c>
      <c r="C378" s="3" t="str">
        <f>VLOOKUP(A378,Dataset!A:L,3,FALSE)</f>
        <v>Accessories</v>
      </c>
      <c r="D378" s="3" t="str">
        <f>VLOOKUP(A378,Dataset!A:L,4,FALSE)</f>
        <v>Caps</v>
      </c>
      <c r="E378" s="3">
        <f>VLOOKUP(A378,Dataset!A:L,8,FALSE)</f>
        <v>0</v>
      </c>
      <c r="F378" s="3">
        <f>VLOOKUP(A378,Dataset!A:L,12,FALSE)</f>
        <v>175.33</v>
      </c>
    </row>
    <row r="379" spans="1:6">
      <c r="A379" s="3">
        <v>1377</v>
      </c>
      <c r="B379" s="3" t="str">
        <f>VLOOKUP(A379,Dataset!A:L,2,FALSE)</f>
        <v>Mark Matthews</v>
      </c>
      <c r="C379" s="3" t="str">
        <f>VLOOKUP(A379,Dataset!A:L,3,FALSE)</f>
        <v>Jackets</v>
      </c>
      <c r="D379" s="3" t="str">
        <f>VLOOKUP(A379,Dataset!A:L,4,FALSE)</f>
        <v>Denim Jacket</v>
      </c>
      <c r="E379" s="3">
        <f>VLOOKUP(A379,Dataset!A:L,8,FALSE)</f>
        <v>0</v>
      </c>
      <c r="F379" s="3">
        <f>VLOOKUP(A379,Dataset!A:L,12,FALSE)</f>
        <v>2229.9499999999998</v>
      </c>
    </row>
    <row r="380" spans="1:6">
      <c r="A380" s="3">
        <v>1378</v>
      </c>
      <c r="B380" s="3" t="str">
        <f>VLOOKUP(A380,Dataset!A:L,2,FALSE)</f>
        <v>Melissa Hale</v>
      </c>
      <c r="C380" s="3" t="str">
        <f>VLOOKUP(A380,Dataset!A:L,3,FALSE)</f>
        <v>Jackets</v>
      </c>
      <c r="D380" s="3" t="str">
        <f>VLOOKUP(A380,Dataset!A:L,4,FALSE)</f>
        <v>Puffer Coat</v>
      </c>
      <c r="E380" s="3">
        <f>VLOOKUP(A380,Dataset!A:L,8,FALSE)</f>
        <v>-4123.13</v>
      </c>
      <c r="F380" s="3">
        <f>VLOOKUP(A380,Dataset!A:L,12,FALSE)</f>
        <v>-345.1</v>
      </c>
    </row>
    <row r="381" spans="1:6">
      <c r="A381" s="3">
        <v>1013</v>
      </c>
      <c r="B381" s="3" t="str">
        <f>VLOOKUP(A381,Dataset!A:L,2,FALSE)</f>
        <v>James Delgado</v>
      </c>
      <c r="C381" s="3" t="str">
        <f>VLOOKUP(A381,Dataset!A:L,3,FALSE)</f>
        <v>T-Shirts</v>
      </c>
      <c r="D381" s="3" t="str">
        <f>VLOOKUP(A381,Dataset!A:L,4,FALSE)</f>
        <v>Crop Top</v>
      </c>
      <c r="E381" s="3">
        <f>VLOOKUP(A381,Dataset!A:L,8,FALSE)</f>
        <v>0</v>
      </c>
      <c r="F381" s="3">
        <f>VLOOKUP(A381,Dataset!A:L,12,FALSE)</f>
        <v>1279.58</v>
      </c>
    </row>
    <row r="382" spans="1:6">
      <c r="A382" s="3">
        <v>1380</v>
      </c>
      <c r="B382" s="3" t="str">
        <f>VLOOKUP(A382,Dataset!A:L,2,FALSE)</f>
        <v>Brittney Branch</v>
      </c>
      <c r="C382" s="3" t="str">
        <f>VLOOKUP(A382,Dataset!A:L,3,FALSE)</f>
        <v>Dresses</v>
      </c>
      <c r="D382" s="3" t="str">
        <f>VLOOKUP(A382,Dataset!A:L,4,FALSE)</f>
        <v>Bodycon</v>
      </c>
      <c r="E382" s="3">
        <f>VLOOKUP(A382,Dataset!A:L,8,FALSE)</f>
        <v>0</v>
      </c>
      <c r="F382" s="3">
        <f>VLOOKUP(A382,Dataset!A:L,12,FALSE)</f>
        <v>-475.94</v>
      </c>
    </row>
    <row r="383" spans="1:6">
      <c r="A383" s="3">
        <v>1381</v>
      </c>
      <c r="B383" s="3" t="str">
        <f>VLOOKUP(A383,Dataset!A:L,2,FALSE)</f>
        <v>Brian Bridges</v>
      </c>
      <c r="C383" s="3" t="str">
        <f>VLOOKUP(A383,Dataset!A:L,3,FALSE)</f>
        <v>Jeans</v>
      </c>
      <c r="D383" s="3" t="str">
        <f>VLOOKUP(A383,Dataset!A:L,4,FALSE)</f>
        <v>Ripped Denim</v>
      </c>
      <c r="E383" s="3">
        <f>VLOOKUP(A383,Dataset!A:L,8,FALSE)</f>
        <v>0</v>
      </c>
      <c r="F383" s="3">
        <f>VLOOKUP(A383,Dataset!A:L,12,FALSE)</f>
        <v>-136.30000000000001</v>
      </c>
    </row>
    <row r="384" spans="1:6">
      <c r="A384" s="3">
        <v>1382</v>
      </c>
      <c r="B384" s="3" t="str">
        <f>VLOOKUP(A384,Dataset!A:L,2,FALSE)</f>
        <v>Jeffery Green</v>
      </c>
      <c r="C384" s="3" t="str">
        <f>VLOOKUP(A384,Dataset!A:L,3,FALSE)</f>
        <v>Jeans</v>
      </c>
      <c r="D384" s="3" t="str">
        <f>VLOOKUP(A384,Dataset!A:L,4,FALSE)</f>
        <v>Boyfriend Jeans</v>
      </c>
      <c r="E384" s="3">
        <f>VLOOKUP(A384,Dataset!A:L,8,FALSE)</f>
        <v>0</v>
      </c>
      <c r="F384" s="3">
        <f>VLOOKUP(A384,Dataset!A:L,12,FALSE)</f>
        <v>-165.59</v>
      </c>
    </row>
    <row r="385" spans="1:6">
      <c r="A385" s="3">
        <v>1383</v>
      </c>
      <c r="B385" s="3" t="str">
        <f>VLOOKUP(A385,Dataset!A:L,2,FALSE)</f>
        <v>Rachel Bradford</v>
      </c>
      <c r="C385" s="3" t="str">
        <f>VLOOKUP(A385,Dataset!A:L,3,FALSE)</f>
        <v>Dresses</v>
      </c>
      <c r="D385" s="3" t="str">
        <f>VLOOKUP(A385,Dataset!A:L,4,FALSE)</f>
        <v>Maxi Dress</v>
      </c>
      <c r="E385" s="3">
        <f>VLOOKUP(A385,Dataset!A:L,8,FALSE)</f>
        <v>0</v>
      </c>
      <c r="F385" s="3">
        <f>VLOOKUP(A385,Dataset!A:L,12,FALSE)</f>
        <v>127.63</v>
      </c>
    </row>
    <row r="386" spans="1:6">
      <c r="A386" s="3">
        <v>1048</v>
      </c>
      <c r="B386" s="3" t="str">
        <f>VLOOKUP(A386,Dataset!A:L,2,FALSE)</f>
        <v>James Hughes</v>
      </c>
      <c r="C386" s="3" t="str">
        <f>VLOOKUP(A386,Dataset!A:L,3,FALSE)</f>
        <v>Jeans</v>
      </c>
      <c r="D386" s="3" t="str">
        <f>VLOOKUP(A386,Dataset!A:L,4,FALSE)</f>
        <v>Straight Cut</v>
      </c>
      <c r="E386" s="3">
        <f>VLOOKUP(A386,Dataset!A:L,8,FALSE)</f>
        <v>0</v>
      </c>
      <c r="F386" s="3">
        <f>VLOOKUP(A386,Dataset!A:L,12,FALSE)</f>
        <v>2409.2600000000002</v>
      </c>
    </row>
    <row r="387" spans="1:6">
      <c r="A387" s="3">
        <v>1385</v>
      </c>
      <c r="B387" s="3" t="str">
        <f>VLOOKUP(A387,Dataset!A:L,2,FALSE)</f>
        <v>Veronica Taylor</v>
      </c>
      <c r="C387" s="3" t="str">
        <f>VLOOKUP(A387,Dataset!A:L,3,FALSE)</f>
        <v>Dresses</v>
      </c>
      <c r="D387" s="3" t="str">
        <f>VLOOKUP(A387,Dataset!A:L,4,FALSE)</f>
        <v>Wrap Dress</v>
      </c>
      <c r="E387" s="3">
        <f>VLOOKUP(A387,Dataset!A:L,8,FALSE)</f>
        <v>0</v>
      </c>
      <c r="F387" s="3">
        <f>VLOOKUP(A387,Dataset!A:L,12,FALSE)</f>
        <v>2744.77</v>
      </c>
    </row>
    <row r="388" spans="1:6">
      <c r="A388" s="3">
        <v>1386</v>
      </c>
      <c r="B388" s="3" t="str">
        <f>VLOOKUP(A388,Dataset!A:L,2,FALSE)</f>
        <v>Crystal Molina</v>
      </c>
      <c r="C388" s="3" t="str">
        <f>VLOOKUP(A388,Dataset!A:L,3,FALSE)</f>
        <v>Shoes</v>
      </c>
      <c r="D388" s="3" t="str">
        <f>VLOOKUP(A388,Dataset!A:L,4,FALSE)</f>
        <v>Boots</v>
      </c>
      <c r="E388" s="3">
        <f>VLOOKUP(A388,Dataset!A:L,8,FALSE)</f>
        <v>-2219.91</v>
      </c>
      <c r="F388" s="3">
        <f>VLOOKUP(A388,Dataset!A:L,12,FALSE)</f>
        <v>1669.09</v>
      </c>
    </row>
    <row r="389" spans="1:6">
      <c r="A389" s="3">
        <v>1387</v>
      </c>
      <c r="B389" s="3" t="str">
        <f>VLOOKUP(A389,Dataset!A:L,2,FALSE)</f>
        <v>Michael White</v>
      </c>
      <c r="C389" s="3" t="str">
        <f>VLOOKUP(A389,Dataset!A:L,3,FALSE)</f>
        <v>Jackets</v>
      </c>
      <c r="D389" s="3" t="str">
        <f>VLOOKUP(A389,Dataset!A:L,4,FALSE)</f>
        <v>Puffer Coat</v>
      </c>
      <c r="E389" s="3">
        <f>VLOOKUP(A389,Dataset!A:L,8,FALSE)</f>
        <v>0</v>
      </c>
      <c r="F389" s="3">
        <f>VLOOKUP(A389,Dataset!A:L,12,FALSE)</f>
        <v>-505.47</v>
      </c>
    </row>
    <row r="390" spans="1:6">
      <c r="A390" s="3">
        <v>1388</v>
      </c>
      <c r="B390" s="3" t="str">
        <f>VLOOKUP(A390,Dataset!A:L,2,FALSE)</f>
        <v>Michael Beltran</v>
      </c>
      <c r="C390" s="3" t="str">
        <f>VLOOKUP(A390,Dataset!A:L,3,FALSE)</f>
        <v>Dresses</v>
      </c>
      <c r="D390" s="3" t="str">
        <f>VLOOKUP(A390,Dataset!A:L,4,FALSE)</f>
        <v>Casual Midi</v>
      </c>
      <c r="E390" s="3">
        <f>VLOOKUP(A390,Dataset!A:L,8,FALSE)</f>
        <v>0</v>
      </c>
      <c r="F390" s="3">
        <f>VLOOKUP(A390,Dataset!A:L,12,FALSE)</f>
        <v>475.79</v>
      </c>
    </row>
    <row r="391" spans="1:6">
      <c r="A391" s="3">
        <v>1389</v>
      </c>
      <c r="B391" s="3" t="str">
        <f>VLOOKUP(A391,Dataset!A:L,2,FALSE)</f>
        <v>Barbara Jones</v>
      </c>
      <c r="C391" s="3" t="str">
        <f>VLOOKUP(A391,Dataset!A:L,3,FALSE)</f>
        <v>Dresses</v>
      </c>
      <c r="D391" s="3" t="str">
        <f>VLOOKUP(A391,Dataset!A:L,4,FALSE)</f>
        <v>Wrap Dress</v>
      </c>
      <c r="E391" s="3">
        <f>VLOOKUP(A391,Dataset!A:L,8,FALSE)</f>
        <v>0</v>
      </c>
      <c r="F391" s="3">
        <f>VLOOKUP(A391,Dataset!A:L,12,FALSE)</f>
        <v>1987.46</v>
      </c>
    </row>
    <row r="392" spans="1:6">
      <c r="A392" s="3">
        <v>1390</v>
      </c>
      <c r="B392" s="3" t="str">
        <f>VLOOKUP(A392,Dataset!A:L,2,FALSE)</f>
        <v>Randy Baker</v>
      </c>
      <c r="C392" s="3" t="str">
        <f>VLOOKUP(A392,Dataset!A:L,3,FALSE)</f>
        <v>Jeans</v>
      </c>
      <c r="D392" s="3" t="str">
        <f>VLOOKUP(A392,Dataset!A:L,4,FALSE)</f>
        <v>Slim Fit Jeans</v>
      </c>
      <c r="E392" s="3">
        <f>VLOOKUP(A392,Dataset!A:L,8,FALSE)</f>
        <v>0</v>
      </c>
      <c r="F392" s="3">
        <f>VLOOKUP(A392,Dataset!A:L,12,FALSE)</f>
        <v>1789.75</v>
      </c>
    </row>
    <row r="393" spans="1:6">
      <c r="A393" s="3">
        <v>1391</v>
      </c>
      <c r="B393" s="3" t="str">
        <f>VLOOKUP(A393,Dataset!A:L,2,FALSE)</f>
        <v>James Collins</v>
      </c>
      <c r="C393" s="3" t="str">
        <f>VLOOKUP(A393,Dataset!A:L,3,FALSE)</f>
        <v>Shoes</v>
      </c>
      <c r="D393" s="3" t="str">
        <f>VLOOKUP(A393,Dataset!A:L,4,FALSE)</f>
        <v>Slip-ons</v>
      </c>
      <c r="E393" s="3">
        <f>VLOOKUP(A393,Dataset!A:L,8,FALSE)</f>
        <v>0</v>
      </c>
      <c r="F393" s="3">
        <f>VLOOKUP(A393,Dataset!A:L,12,FALSE)</f>
        <v>418.24</v>
      </c>
    </row>
    <row r="394" spans="1:6">
      <c r="A394" s="3">
        <v>1014</v>
      </c>
      <c r="B394" s="3" t="str">
        <f>VLOOKUP(A394,Dataset!A:L,2,FALSE)</f>
        <v>Richard Hood</v>
      </c>
      <c r="C394" s="3" t="str">
        <f>VLOOKUP(A394,Dataset!A:L,3,FALSE)</f>
        <v>Shoes</v>
      </c>
      <c r="D394" s="3" t="str">
        <f>VLOOKUP(A394,Dataset!A:L,4,FALSE)</f>
        <v>Loafers</v>
      </c>
      <c r="E394" s="3">
        <f>VLOOKUP(A394,Dataset!A:L,8,FALSE)</f>
        <v>0</v>
      </c>
      <c r="F394" s="3">
        <f>VLOOKUP(A394,Dataset!A:L,12,FALSE)</f>
        <v>-889.25</v>
      </c>
    </row>
    <row r="395" spans="1:6">
      <c r="A395" s="3">
        <v>1393</v>
      </c>
      <c r="B395" s="3" t="str">
        <f>VLOOKUP(A395,Dataset!A:L,2,FALSE)</f>
        <v>Christina Hernandez</v>
      </c>
      <c r="C395" s="3" t="str">
        <f>VLOOKUP(A395,Dataset!A:L,3,FALSE)</f>
        <v>Jackets</v>
      </c>
      <c r="D395" s="3" t="str">
        <f>VLOOKUP(A395,Dataset!A:L,4,FALSE)</f>
        <v>Bomber Jacket</v>
      </c>
      <c r="E395" s="3">
        <f>VLOOKUP(A395,Dataset!A:L,8,FALSE)</f>
        <v>0</v>
      </c>
      <c r="F395" s="3">
        <f>VLOOKUP(A395,Dataset!A:L,12,FALSE)</f>
        <v>2001.24</v>
      </c>
    </row>
    <row r="396" spans="1:6">
      <c r="A396" s="3">
        <v>1394</v>
      </c>
      <c r="B396" s="3" t="str">
        <f>VLOOKUP(A396,Dataset!A:L,2,FALSE)</f>
        <v>Jody Larsen</v>
      </c>
      <c r="C396" s="3" t="str">
        <f>VLOOKUP(A396,Dataset!A:L,3,FALSE)</f>
        <v>Jackets</v>
      </c>
      <c r="D396" s="3" t="str">
        <f>VLOOKUP(A396,Dataset!A:L,4,FALSE)</f>
        <v>Bomber Jacket</v>
      </c>
      <c r="E396" s="3">
        <f>VLOOKUP(A396,Dataset!A:L,8,FALSE)</f>
        <v>0</v>
      </c>
      <c r="F396" s="3">
        <f>VLOOKUP(A396,Dataset!A:L,12,FALSE)</f>
        <v>2538.59</v>
      </c>
    </row>
    <row r="397" spans="1:6">
      <c r="A397" s="3">
        <v>1395</v>
      </c>
      <c r="B397" s="3" t="str">
        <f>VLOOKUP(A397,Dataset!A:L,2,FALSE)</f>
        <v>Andrew Wood</v>
      </c>
      <c r="C397" s="3" t="str">
        <f>VLOOKUP(A397,Dataset!A:L,3,FALSE)</f>
        <v>Dresses</v>
      </c>
      <c r="D397" s="3" t="str">
        <f>VLOOKUP(A397,Dataset!A:L,4,FALSE)</f>
        <v>Wrap Dress</v>
      </c>
      <c r="E397" s="3">
        <f>VLOOKUP(A397,Dataset!A:L,8,FALSE)</f>
        <v>0</v>
      </c>
      <c r="F397" s="3">
        <f>VLOOKUP(A397,Dataset!A:L,12,FALSE)</f>
        <v>-357.08</v>
      </c>
    </row>
    <row r="398" spans="1:6">
      <c r="A398" s="3">
        <v>1396</v>
      </c>
      <c r="B398" s="3" t="str">
        <f>VLOOKUP(A398,Dataset!A:L,2,FALSE)</f>
        <v>James Rocha</v>
      </c>
      <c r="C398" s="3" t="str">
        <f>VLOOKUP(A398,Dataset!A:L,3,FALSE)</f>
        <v>Jeans</v>
      </c>
      <c r="D398" s="3" t="str">
        <f>VLOOKUP(A398,Dataset!A:L,4,FALSE)</f>
        <v>Straight Cut</v>
      </c>
      <c r="E398" s="3">
        <f>VLOOKUP(A398,Dataset!A:L,8,FALSE)</f>
        <v>5422.2</v>
      </c>
      <c r="F398" s="3">
        <f>VLOOKUP(A398,Dataset!A:L,12,FALSE)</f>
        <v>1553.44</v>
      </c>
    </row>
    <row r="399" spans="1:6">
      <c r="A399" s="3">
        <v>1397</v>
      </c>
      <c r="B399" s="3" t="str">
        <f>VLOOKUP(A399,Dataset!A:L,2,FALSE)</f>
        <v>Rebekah Gonzalez</v>
      </c>
      <c r="C399" s="3" t="str">
        <f>VLOOKUP(A399,Dataset!A:L,3,FALSE)</f>
        <v>Jackets</v>
      </c>
      <c r="D399" s="3" t="str">
        <f>VLOOKUP(A399,Dataset!A:L,4,FALSE)</f>
        <v>Leather Jacket</v>
      </c>
      <c r="E399" s="3">
        <f>VLOOKUP(A399,Dataset!A:L,8,FALSE)</f>
        <v>0</v>
      </c>
      <c r="F399" s="3">
        <f>VLOOKUP(A399,Dataset!A:L,12,FALSE)</f>
        <v>1239.6199999999999</v>
      </c>
    </row>
    <row r="400" spans="1:6">
      <c r="A400" s="3">
        <v>1398</v>
      </c>
      <c r="B400" s="3" t="str">
        <f>VLOOKUP(A400,Dataset!A:L,2,FALSE)</f>
        <v>Aaron Ruiz</v>
      </c>
      <c r="C400" s="3" t="str">
        <f>VLOOKUP(A400,Dataset!A:L,3,FALSE)</f>
        <v>Dresses</v>
      </c>
      <c r="D400" s="3" t="str">
        <f>VLOOKUP(A400,Dataset!A:L,4,FALSE)</f>
        <v>Casual Midi</v>
      </c>
      <c r="E400" s="3">
        <f>VLOOKUP(A400,Dataset!A:L,8,FALSE)</f>
        <v>0</v>
      </c>
      <c r="F400" s="3">
        <f>VLOOKUP(A400,Dataset!A:L,12,FALSE)</f>
        <v>-43.7</v>
      </c>
    </row>
    <row r="401" spans="1:6">
      <c r="A401" s="3">
        <v>1399</v>
      </c>
      <c r="B401" s="3" t="str">
        <f>VLOOKUP(A401,Dataset!A:L,2,FALSE)</f>
        <v>Olivia Lee</v>
      </c>
      <c r="C401" s="3" t="str">
        <f>VLOOKUP(A401,Dataset!A:L,3,FALSE)</f>
        <v>Jackets</v>
      </c>
      <c r="D401" s="3" t="str">
        <f>VLOOKUP(A401,Dataset!A:L,4,FALSE)</f>
        <v>Denim Jacket</v>
      </c>
      <c r="E401" s="3">
        <f>VLOOKUP(A401,Dataset!A:L,8,FALSE)</f>
        <v>0</v>
      </c>
      <c r="F401" s="3">
        <f>VLOOKUP(A401,Dataset!A:L,12,FALSE)</f>
        <v>-444.08</v>
      </c>
    </row>
    <row r="402" spans="1:6">
      <c r="A402" s="3">
        <v>1400</v>
      </c>
      <c r="B402" s="3" t="str">
        <f>VLOOKUP(A402,Dataset!A:L,2,FALSE)</f>
        <v>John Carr</v>
      </c>
      <c r="C402" s="3" t="str">
        <f>VLOOKUP(A402,Dataset!A:L,3,FALSE)</f>
        <v>T-Shirts</v>
      </c>
      <c r="D402" s="3" t="str">
        <f>VLOOKUP(A402,Dataset!A:L,4,FALSE)</f>
        <v>Classic Tee</v>
      </c>
      <c r="E402" s="3">
        <f>VLOOKUP(A402,Dataset!A:L,8,FALSE)</f>
        <v>0</v>
      </c>
      <c r="F402" s="3">
        <f>VLOOKUP(A402,Dataset!A:L,12,FALSE)</f>
        <v>1385.55</v>
      </c>
    </row>
    <row r="403" spans="1:6">
      <c r="A403" s="3">
        <v>1401</v>
      </c>
      <c r="B403" s="3" t="str">
        <f>VLOOKUP(A403,Dataset!A:L,2,FALSE)</f>
        <v>Daniel Wilson</v>
      </c>
      <c r="C403" s="3" t="str">
        <f>VLOOKUP(A403,Dataset!A:L,3,FALSE)</f>
        <v>T-Shirts</v>
      </c>
      <c r="D403" s="3" t="str">
        <f>VLOOKUP(A403,Dataset!A:L,4,FALSE)</f>
        <v>Classic Tee</v>
      </c>
      <c r="E403" s="3">
        <f>VLOOKUP(A403,Dataset!A:L,8,FALSE)</f>
        <v>0</v>
      </c>
      <c r="F403" s="3">
        <f>VLOOKUP(A403,Dataset!A:L,12,FALSE)</f>
        <v>-751.05</v>
      </c>
    </row>
    <row r="404" spans="1:6">
      <c r="A404" s="3">
        <v>1402</v>
      </c>
      <c r="B404" s="3" t="str">
        <f>VLOOKUP(A404,Dataset!A:L,2,FALSE)</f>
        <v>Daniel Hernandez Jr.</v>
      </c>
      <c r="C404" s="3" t="str">
        <f>VLOOKUP(A404,Dataset!A:L,3,FALSE)</f>
        <v>Accessories</v>
      </c>
      <c r="D404" s="3" t="str">
        <f>VLOOKUP(A404,Dataset!A:L,4,FALSE)</f>
        <v>Watches</v>
      </c>
      <c r="E404" s="3">
        <f>VLOOKUP(A404,Dataset!A:L,8,FALSE)</f>
        <v>0</v>
      </c>
      <c r="F404" s="3">
        <f>VLOOKUP(A404,Dataset!A:L,12,FALSE)</f>
        <v>982.01</v>
      </c>
    </row>
    <row r="405" spans="1:6">
      <c r="A405" s="3">
        <v>1403</v>
      </c>
      <c r="B405" s="3" t="str">
        <f>VLOOKUP(A405,Dataset!A:L,2,FALSE)</f>
        <v>John Clark</v>
      </c>
      <c r="C405" s="3" t="str">
        <f>VLOOKUP(A405,Dataset!A:L,3,FALSE)</f>
        <v>T-Shirts</v>
      </c>
      <c r="D405" s="3" t="str">
        <f>VLOOKUP(A405,Dataset!A:L,4,FALSE)</f>
        <v>Crop Top</v>
      </c>
      <c r="E405" s="3">
        <f>VLOOKUP(A405,Dataset!A:L,8,FALSE)</f>
        <v>0</v>
      </c>
      <c r="F405" s="3">
        <f>VLOOKUP(A405,Dataset!A:L,12,FALSE)</f>
        <v>2210.0700000000002</v>
      </c>
    </row>
    <row r="406" spans="1:6">
      <c r="A406" s="3">
        <v>1404</v>
      </c>
      <c r="B406" s="3" t="str">
        <f>VLOOKUP(A406,Dataset!A:L,2,FALSE)</f>
        <v>Hannah Martin</v>
      </c>
      <c r="C406" s="3" t="str">
        <f>VLOOKUP(A406,Dataset!A:L,3,FALSE)</f>
        <v>Accessories</v>
      </c>
      <c r="D406" s="3" t="str">
        <f>VLOOKUP(A406,Dataset!A:L,4,FALSE)</f>
        <v>Watches</v>
      </c>
      <c r="E406" s="3">
        <f>VLOOKUP(A406,Dataset!A:L,8,FALSE)</f>
        <v>0</v>
      </c>
      <c r="F406" s="3">
        <f>VLOOKUP(A406,Dataset!A:L,12,FALSE)</f>
        <v>1979.07</v>
      </c>
    </row>
    <row r="407" spans="1:6">
      <c r="A407" s="3">
        <v>1405</v>
      </c>
      <c r="B407" s="3" t="str">
        <f>VLOOKUP(A407,Dataset!A:L,2,FALSE)</f>
        <v>Alyssa Ramirez</v>
      </c>
      <c r="C407" s="3" t="str">
        <f>VLOOKUP(A407,Dataset!A:L,3,FALSE)</f>
        <v>Dresses</v>
      </c>
      <c r="D407" s="3" t="str">
        <f>VLOOKUP(A407,Dataset!A:L,4,FALSE)</f>
        <v>Maxi Dress</v>
      </c>
      <c r="E407" s="3">
        <f>VLOOKUP(A407,Dataset!A:L,8,FALSE)</f>
        <v>0</v>
      </c>
      <c r="F407" s="3">
        <f>VLOOKUP(A407,Dataset!A:L,12,FALSE)</f>
        <v>2345.6799999999998</v>
      </c>
    </row>
    <row r="408" spans="1:6">
      <c r="A408" s="3">
        <v>1406</v>
      </c>
      <c r="B408" s="3" t="str">
        <f>VLOOKUP(A408,Dataset!A:L,2,FALSE)</f>
        <v>Alan Johnson</v>
      </c>
      <c r="C408" s="3" t="str">
        <f>VLOOKUP(A408,Dataset!A:L,3,FALSE)</f>
        <v>Dresses</v>
      </c>
      <c r="D408" s="3" t="str">
        <f>VLOOKUP(A408,Dataset!A:L,4,FALSE)</f>
        <v>Maxi Dress</v>
      </c>
      <c r="E408" s="3">
        <f>VLOOKUP(A408,Dataset!A:L,8,FALSE)</f>
        <v>0</v>
      </c>
      <c r="F408" s="3">
        <f>VLOOKUP(A408,Dataset!A:L,12,FALSE)</f>
        <v>-863.17</v>
      </c>
    </row>
    <row r="409" spans="1:6">
      <c r="A409" s="3">
        <v>1407</v>
      </c>
      <c r="B409" s="3" t="str">
        <f>VLOOKUP(A409,Dataset!A:L,2,FALSE)</f>
        <v>Joseph Freeman</v>
      </c>
      <c r="C409" s="3" t="str">
        <f>VLOOKUP(A409,Dataset!A:L,3,FALSE)</f>
        <v>T-Shirts</v>
      </c>
      <c r="D409" s="3" t="str">
        <f>VLOOKUP(A409,Dataset!A:L,4,FALSE)</f>
        <v>Graphic Tee</v>
      </c>
      <c r="E409" s="3">
        <f>VLOOKUP(A409,Dataset!A:L,8,FALSE)</f>
        <v>0</v>
      </c>
      <c r="F409" s="3">
        <f>VLOOKUP(A409,Dataset!A:L,12,FALSE)</f>
        <v>2041.12</v>
      </c>
    </row>
    <row r="410" spans="1:6">
      <c r="A410" s="3">
        <v>1408</v>
      </c>
      <c r="B410" s="3" t="str">
        <f>VLOOKUP(A410,Dataset!A:L,2,FALSE)</f>
        <v>William Golden</v>
      </c>
      <c r="C410" s="3" t="str">
        <f>VLOOKUP(A410,Dataset!A:L,3,FALSE)</f>
        <v>Shoes</v>
      </c>
      <c r="D410" s="3" t="str">
        <f>VLOOKUP(A410,Dataset!A:L,4,FALSE)</f>
        <v>Boots</v>
      </c>
      <c r="E410" s="3">
        <f>VLOOKUP(A410,Dataset!A:L,8,FALSE)</f>
        <v>0</v>
      </c>
      <c r="F410" s="3">
        <f>VLOOKUP(A410,Dataset!A:L,12,FALSE)</f>
        <v>2305.3200000000002</v>
      </c>
    </row>
    <row r="411" spans="1:6">
      <c r="A411" s="3">
        <v>1409</v>
      </c>
      <c r="B411" s="3" t="str">
        <f>VLOOKUP(A411,Dataset!A:L,2,FALSE)</f>
        <v>Heather Cross</v>
      </c>
      <c r="C411" s="3" t="str">
        <f>VLOOKUP(A411,Dataset!A:L,3,FALSE)</f>
        <v>Accessories</v>
      </c>
      <c r="D411" s="3" t="str">
        <f>VLOOKUP(A411,Dataset!A:L,4,FALSE)</f>
        <v>Caps</v>
      </c>
      <c r="E411" s="3">
        <f>VLOOKUP(A411,Dataset!A:L,8,FALSE)</f>
        <v>0</v>
      </c>
      <c r="F411" s="3">
        <f>VLOOKUP(A411,Dataset!A:L,12,FALSE)</f>
        <v>-941.44</v>
      </c>
    </row>
    <row r="412" spans="1:6">
      <c r="A412" s="3">
        <v>1410</v>
      </c>
      <c r="B412" s="3" t="str">
        <f>VLOOKUP(A412,Dataset!A:L,2,FALSE)</f>
        <v>Dawn Caldwell</v>
      </c>
      <c r="C412" s="3" t="str">
        <f>VLOOKUP(A412,Dataset!A:L,3,FALSE)</f>
        <v>Jeans</v>
      </c>
      <c r="D412" s="3" t="str">
        <f>VLOOKUP(A412,Dataset!A:L,4,FALSE)</f>
        <v>Ripped Denim</v>
      </c>
      <c r="E412" s="3">
        <f>VLOOKUP(A412,Dataset!A:L,8,FALSE)</f>
        <v>0</v>
      </c>
      <c r="F412" s="3">
        <f>VLOOKUP(A412,Dataset!A:L,12,FALSE)</f>
        <v>-654.59</v>
      </c>
    </row>
    <row r="413" spans="1:6">
      <c r="A413" s="3">
        <v>1411</v>
      </c>
      <c r="B413" s="3" t="str">
        <f>VLOOKUP(A413,Dataset!A:L,2,FALSE)</f>
        <v>Michael Bond</v>
      </c>
      <c r="C413" s="3" t="str">
        <f>VLOOKUP(A413,Dataset!A:L,3,FALSE)</f>
        <v>Dresses</v>
      </c>
      <c r="D413" s="3" t="str">
        <f>VLOOKUP(A413,Dataset!A:L,4,FALSE)</f>
        <v>Wrap Dress</v>
      </c>
      <c r="E413" s="3">
        <f>VLOOKUP(A413,Dataset!A:L,8,FALSE)</f>
        <v>0</v>
      </c>
      <c r="F413" s="3">
        <f>VLOOKUP(A413,Dataset!A:L,12,FALSE)</f>
        <v>1520.19</v>
      </c>
    </row>
    <row r="414" spans="1:6">
      <c r="A414" s="3">
        <v>1412</v>
      </c>
      <c r="B414" s="3" t="str">
        <f>VLOOKUP(A414,Dataset!A:L,2,FALSE)</f>
        <v>Luis Mcdaniel</v>
      </c>
      <c r="C414" s="3" t="str">
        <f>VLOOKUP(A414,Dataset!A:L,3,FALSE)</f>
        <v>Shoes</v>
      </c>
      <c r="D414" s="3" t="str">
        <f>VLOOKUP(A414,Dataset!A:L,4,FALSE)</f>
        <v>Slip-ons</v>
      </c>
      <c r="E414" s="3">
        <f>VLOOKUP(A414,Dataset!A:L,8,FALSE)</f>
        <v>0</v>
      </c>
      <c r="F414" s="3">
        <f>VLOOKUP(A414,Dataset!A:L,12,FALSE)</f>
        <v>2314.9299999999998</v>
      </c>
    </row>
    <row r="415" spans="1:6">
      <c r="A415" s="3">
        <v>1413</v>
      </c>
      <c r="B415" s="3" t="str">
        <f>VLOOKUP(A415,Dataset!A:L,2,FALSE)</f>
        <v>Michael Harris</v>
      </c>
      <c r="C415" s="3" t="str">
        <f>VLOOKUP(A415,Dataset!A:L,3,FALSE)</f>
        <v>Dresses</v>
      </c>
      <c r="D415" s="3" t="str">
        <f>VLOOKUP(A415,Dataset!A:L,4,FALSE)</f>
        <v>Maxi Dress</v>
      </c>
      <c r="E415" s="3">
        <f>VLOOKUP(A415,Dataset!A:L,8,FALSE)</f>
        <v>0</v>
      </c>
      <c r="F415" s="3">
        <f>VLOOKUP(A415,Dataset!A:L,12,FALSE)</f>
        <v>1539.28</v>
      </c>
    </row>
    <row r="416" spans="1:6">
      <c r="A416" s="3">
        <v>1414</v>
      </c>
      <c r="B416" s="3" t="str">
        <f>VLOOKUP(A416,Dataset!A:L,2,FALSE)</f>
        <v>Elizabeth Buchanan</v>
      </c>
      <c r="C416" s="3" t="str">
        <f>VLOOKUP(A416,Dataset!A:L,3,FALSE)</f>
        <v>T-Shirts</v>
      </c>
      <c r="D416" s="3" t="str">
        <f>VLOOKUP(A416,Dataset!A:L,4,FALSE)</f>
        <v>Oversized T-shirt</v>
      </c>
      <c r="E416" s="3">
        <f>VLOOKUP(A416,Dataset!A:L,8,FALSE)</f>
        <v>0</v>
      </c>
      <c r="F416" s="3">
        <f>VLOOKUP(A416,Dataset!A:L,12,FALSE)</f>
        <v>2843.55</v>
      </c>
    </row>
    <row r="417" spans="1:6">
      <c r="A417" s="3">
        <v>1415</v>
      </c>
      <c r="B417" s="3" t="str">
        <f>VLOOKUP(A417,Dataset!A:L,2,FALSE)</f>
        <v>Sydney Travis</v>
      </c>
      <c r="C417" s="3" t="str">
        <f>VLOOKUP(A417,Dataset!A:L,3,FALSE)</f>
        <v>Jackets</v>
      </c>
      <c r="D417" s="3" t="str">
        <f>VLOOKUP(A417,Dataset!A:L,4,FALSE)</f>
        <v>Puffer Coat</v>
      </c>
      <c r="E417" s="3">
        <f>VLOOKUP(A417,Dataset!A:L,8,FALSE)</f>
        <v>0</v>
      </c>
      <c r="F417" s="3">
        <f>VLOOKUP(A417,Dataset!A:L,12,FALSE)</f>
        <v>2661.23</v>
      </c>
    </row>
    <row r="418" spans="1:6">
      <c r="A418" s="3">
        <v>1416</v>
      </c>
      <c r="B418" s="3" t="str">
        <f>VLOOKUP(A418,Dataset!A:L,2,FALSE)</f>
        <v>Joshua Johnson</v>
      </c>
      <c r="C418" s="3" t="str">
        <f>VLOOKUP(A418,Dataset!A:L,3,FALSE)</f>
        <v>Accessories</v>
      </c>
      <c r="D418" s="3" t="str">
        <f>VLOOKUP(A418,Dataset!A:L,4,FALSE)</f>
        <v>Watches</v>
      </c>
      <c r="E418" s="3">
        <f>VLOOKUP(A418,Dataset!A:L,8,FALSE)</f>
        <v>0</v>
      </c>
      <c r="F418" s="3">
        <f>VLOOKUP(A418,Dataset!A:L,12,FALSE)</f>
        <v>2286.48</v>
      </c>
    </row>
    <row r="419" spans="1:6">
      <c r="A419" s="3">
        <v>1417</v>
      </c>
      <c r="B419" s="3" t="str">
        <f>VLOOKUP(A419,Dataset!A:L,2,FALSE)</f>
        <v>Nicholas Harrell</v>
      </c>
      <c r="C419" s="3" t="str">
        <f>VLOOKUP(A419,Dataset!A:L,3,FALSE)</f>
        <v>Dresses</v>
      </c>
      <c r="D419" s="3" t="str">
        <f>VLOOKUP(A419,Dataset!A:L,4,FALSE)</f>
        <v>Wrap Dress</v>
      </c>
      <c r="E419" s="3">
        <f>VLOOKUP(A419,Dataset!A:L,8,FALSE)</f>
        <v>0</v>
      </c>
      <c r="F419" s="3">
        <f>VLOOKUP(A419,Dataset!A:L,12,FALSE)</f>
        <v>888.59</v>
      </c>
    </row>
    <row r="420" spans="1:6">
      <c r="A420" s="3">
        <v>1418</v>
      </c>
      <c r="B420" s="3" t="str">
        <f>VLOOKUP(A420,Dataset!A:L,2,FALSE)</f>
        <v>Christopher Anderson</v>
      </c>
      <c r="C420" s="3" t="str">
        <f>VLOOKUP(A420,Dataset!A:L,3,FALSE)</f>
        <v>Dresses</v>
      </c>
      <c r="D420" s="3" t="str">
        <f>VLOOKUP(A420,Dataset!A:L,4,FALSE)</f>
        <v>Bodycon</v>
      </c>
      <c r="E420" s="3">
        <f>VLOOKUP(A420,Dataset!A:L,8,FALSE)</f>
        <v>0</v>
      </c>
      <c r="F420" s="3">
        <f>VLOOKUP(A420,Dataset!A:L,12,FALSE)</f>
        <v>1403.76</v>
      </c>
    </row>
    <row r="421" spans="1:6">
      <c r="A421" s="3">
        <v>1419</v>
      </c>
      <c r="B421" s="3" t="str">
        <f>VLOOKUP(A421,Dataset!A:L,2,FALSE)</f>
        <v>Brittney Rivera</v>
      </c>
      <c r="C421" s="3" t="str">
        <f>VLOOKUP(A421,Dataset!A:L,3,FALSE)</f>
        <v>Jackets</v>
      </c>
      <c r="D421" s="3" t="str">
        <f>VLOOKUP(A421,Dataset!A:L,4,FALSE)</f>
        <v>Bomber Jacket</v>
      </c>
      <c r="E421" s="3">
        <f>VLOOKUP(A421,Dataset!A:L,8,FALSE)</f>
        <v>0</v>
      </c>
      <c r="F421" s="3">
        <f>VLOOKUP(A421,Dataset!A:L,12,FALSE)</f>
        <v>-565.16999999999996</v>
      </c>
    </row>
    <row r="422" spans="1:6">
      <c r="A422" s="3">
        <v>1420</v>
      </c>
      <c r="B422" s="3" t="str">
        <f>VLOOKUP(A422,Dataset!A:L,2,FALSE)</f>
        <v>James Patterson</v>
      </c>
      <c r="C422" s="3" t="str">
        <f>VLOOKUP(A422,Dataset!A:L,3,FALSE)</f>
        <v>Shoes</v>
      </c>
      <c r="D422" s="3" t="str">
        <f>VLOOKUP(A422,Dataset!A:L,4,FALSE)</f>
        <v>Loafers</v>
      </c>
      <c r="E422" s="3">
        <f>VLOOKUP(A422,Dataset!A:L,8,FALSE)</f>
        <v>0</v>
      </c>
      <c r="F422" s="3">
        <f>VLOOKUP(A422,Dataset!A:L,12,FALSE)</f>
        <v>2790.42</v>
      </c>
    </row>
    <row r="423" spans="1:6">
      <c r="A423" s="3">
        <v>1421</v>
      </c>
      <c r="B423" s="3" t="str">
        <f>VLOOKUP(A423,Dataset!A:L,2,FALSE)</f>
        <v>Kenneth Jackson</v>
      </c>
      <c r="C423" s="3" t="str">
        <f>VLOOKUP(A423,Dataset!A:L,3,FALSE)</f>
        <v>T-Shirts</v>
      </c>
      <c r="D423" s="3" t="str">
        <f>VLOOKUP(A423,Dataset!A:L,4,FALSE)</f>
        <v>Classic Tee</v>
      </c>
      <c r="E423" s="3">
        <f>VLOOKUP(A423,Dataset!A:L,8,FALSE)</f>
        <v>0</v>
      </c>
      <c r="F423" s="3">
        <f>VLOOKUP(A423,Dataset!A:L,12,FALSE)</f>
        <v>575.19000000000005</v>
      </c>
    </row>
    <row r="424" spans="1:6">
      <c r="A424" s="3">
        <v>1422</v>
      </c>
      <c r="B424" s="3" t="str">
        <f>VLOOKUP(A424,Dataset!A:L,2,FALSE)</f>
        <v>Marvin Cox</v>
      </c>
      <c r="C424" s="3" t="str">
        <f>VLOOKUP(A424,Dataset!A:L,3,FALSE)</f>
        <v>Jeans</v>
      </c>
      <c r="D424" s="3" t="str">
        <f>VLOOKUP(A424,Dataset!A:L,4,FALSE)</f>
        <v>Boyfriend Jeans</v>
      </c>
      <c r="E424" s="3">
        <f>VLOOKUP(A424,Dataset!A:L,8,FALSE)</f>
        <v>0</v>
      </c>
      <c r="F424" s="3">
        <f>VLOOKUP(A424,Dataset!A:L,12,FALSE)</f>
        <v>2168.7800000000002</v>
      </c>
    </row>
    <row r="425" spans="1:6">
      <c r="A425" s="3">
        <v>1423</v>
      </c>
      <c r="B425" s="3" t="str">
        <f>VLOOKUP(A425,Dataset!A:L,2,FALSE)</f>
        <v>Christopher Reeves</v>
      </c>
      <c r="C425" s="3" t="str">
        <f>VLOOKUP(A425,Dataset!A:L,3,FALSE)</f>
        <v>Jackets</v>
      </c>
      <c r="D425" s="3" t="str">
        <f>VLOOKUP(A425,Dataset!A:L,4,FALSE)</f>
        <v>Leather Jacket</v>
      </c>
      <c r="E425" s="3">
        <f>VLOOKUP(A425,Dataset!A:L,8,FALSE)</f>
        <v>0</v>
      </c>
      <c r="F425" s="3">
        <f>VLOOKUP(A425,Dataset!A:L,12,FALSE)</f>
        <v>1302.05</v>
      </c>
    </row>
    <row r="426" spans="1:6">
      <c r="A426" s="3">
        <v>1424</v>
      </c>
      <c r="B426" s="3" t="str">
        <f>VLOOKUP(A426,Dataset!A:L,2,FALSE)</f>
        <v>Jennifer Villarreal</v>
      </c>
      <c r="C426" s="3" t="str">
        <f>VLOOKUP(A426,Dataset!A:L,3,FALSE)</f>
        <v>T-Shirts</v>
      </c>
      <c r="D426" s="3" t="str">
        <f>VLOOKUP(A426,Dataset!A:L,4,FALSE)</f>
        <v>Classic Tee</v>
      </c>
      <c r="E426" s="3">
        <f>VLOOKUP(A426,Dataset!A:L,8,FALSE)</f>
        <v>96.95</v>
      </c>
      <c r="F426" s="3">
        <f>VLOOKUP(A426,Dataset!A:L,12,FALSE)</f>
        <v>752.81</v>
      </c>
    </row>
    <row r="427" spans="1:6">
      <c r="A427" s="3">
        <v>1425</v>
      </c>
      <c r="B427" s="3" t="str">
        <f>VLOOKUP(A427,Dataset!A:L,2,FALSE)</f>
        <v>Stacey Irwin</v>
      </c>
      <c r="C427" s="3" t="str">
        <f>VLOOKUP(A427,Dataset!A:L,3,FALSE)</f>
        <v>Accessories</v>
      </c>
      <c r="D427" s="3" t="str">
        <f>VLOOKUP(A427,Dataset!A:L,4,FALSE)</f>
        <v>Caps</v>
      </c>
      <c r="E427" s="3">
        <f>VLOOKUP(A427,Dataset!A:L,8,FALSE)</f>
        <v>0</v>
      </c>
      <c r="F427" s="3">
        <f>VLOOKUP(A427,Dataset!A:L,12,FALSE)</f>
        <v>2604.14</v>
      </c>
    </row>
    <row r="428" spans="1:6">
      <c r="A428" s="3">
        <v>1426</v>
      </c>
      <c r="B428" s="3" t="str">
        <f>VLOOKUP(A428,Dataset!A:L,2,FALSE)</f>
        <v>Bryan Parks</v>
      </c>
      <c r="C428" s="3" t="str">
        <f>VLOOKUP(A428,Dataset!A:L,3,FALSE)</f>
        <v>Jeans</v>
      </c>
      <c r="D428" s="3" t="str">
        <f>VLOOKUP(A428,Dataset!A:L,4,FALSE)</f>
        <v>Ripped Denim</v>
      </c>
      <c r="E428" s="3">
        <f>VLOOKUP(A428,Dataset!A:L,8,FALSE)</f>
        <v>-889.05</v>
      </c>
      <c r="F428" s="3">
        <f>VLOOKUP(A428,Dataset!A:L,12,FALSE)</f>
        <v>2860.99</v>
      </c>
    </row>
    <row r="429" spans="1:6">
      <c r="A429" s="3">
        <v>1427</v>
      </c>
      <c r="B429" s="3" t="str">
        <f>VLOOKUP(A429,Dataset!A:L,2,FALSE)</f>
        <v>Angela Hall</v>
      </c>
      <c r="C429" s="3" t="str">
        <f>VLOOKUP(A429,Dataset!A:L,3,FALSE)</f>
        <v>Shoes</v>
      </c>
      <c r="D429" s="3" t="str">
        <f>VLOOKUP(A429,Dataset!A:L,4,FALSE)</f>
        <v>Boots</v>
      </c>
      <c r="E429" s="3">
        <f>VLOOKUP(A429,Dataset!A:L,8,FALSE)</f>
        <v>0</v>
      </c>
      <c r="F429" s="3">
        <f>VLOOKUP(A429,Dataset!A:L,12,FALSE)</f>
        <v>2795.17</v>
      </c>
    </row>
    <row r="430" spans="1:6">
      <c r="A430" s="3">
        <v>1015</v>
      </c>
      <c r="B430" s="3" t="str">
        <f>VLOOKUP(A430,Dataset!A:L,2,FALSE)</f>
        <v>Julie Fox</v>
      </c>
      <c r="C430" s="3" t="str">
        <f>VLOOKUP(A430,Dataset!A:L,3,FALSE)</f>
        <v>Shoes</v>
      </c>
      <c r="D430" s="3" t="str">
        <f>VLOOKUP(A430,Dataset!A:L,4,FALSE)</f>
        <v>Sneakers</v>
      </c>
      <c r="E430" s="3">
        <f>VLOOKUP(A430,Dataset!A:L,8,FALSE)</f>
        <v>0</v>
      </c>
      <c r="F430" s="3">
        <f>VLOOKUP(A430,Dataset!A:L,12,FALSE)</f>
        <v>793.8</v>
      </c>
    </row>
    <row r="431" spans="1:6">
      <c r="A431" s="3">
        <v>1429</v>
      </c>
      <c r="B431" s="3" t="str">
        <f>VLOOKUP(A431,Dataset!A:L,2,FALSE)</f>
        <v>Travis Vargas</v>
      </c>
      <c r="C431" s="3" t="str">
        <f>VLOOKUP(A431,Dataset!A:L,3,FALSE)</f>
        <v>Dresses</v>
      </c>
      <c r="D431" s="3" t="str">
        <f>VLOOKUP(A431,Dataset!A:L,4,FALSE)</f>
        <v>Bodycon</v>
      </c>
      <c r="E431" s="3">
        <f>VLOOKUP(A431,Dataset!A:L,8,FALSE)</f>
        <v>0</v>
      </c>
      <c r="F431" s="3">
        <f>VLOOKUP(A431,Dataset!A:L,12,FALSE)</f>
        <v>-358.22</v>
      </c>
    </row>
    <row r="432" spans="1:6">
      <c r="A432" s="3">
        <v>1430</v>
      </c>
      <c r="B432" s="3" t="str">
        <f>VLOOKUP(A432,Dataset!A:L,2,FALSE)</f>
        <v>Rose Delgado</v>
      </c>
      <c r="C432" s="3" t="str">
        <f>VLOOKUP(A432,Dataset!A:L,3,FALSE)</f>
        <v>Jeans</v>
      </c>
      <c r="D432" s="3" t="str">
        <f>VLOOKUP(A432,Dataset!A:L,4,FALSE)</f>
        <v>Straight Cut</v>
      </c>
      <c r="E432" s="3">
        <f>VLOOKUP(A432,Dataset!A:L,8,FALSE)</f>
        <v>0</v>
      </c>
      <c r="F432" s="3">
        <f>VLOOKUP(A432,Dataset!A:L,12,FALSE)</f>
        <v>2045.56</v>
      </c>
    </row>
    <row r="433" spans="1:6">
      <c r="A433" s="3">
        <v>1431</v>
      </c>
      <c r="B433" s="3" t="str">
        <f>VLOOKUP(A433,Dataset!A:L,2,FALSE)</f>
        <v>Jennifer Lyons</v>
      </c>
      <c r="C433" s="3" t="str">
        <f>VLOOKUP(A433,Dataset!A:L,3,FALSE)</f>
        <v>Accessories</v>
      </c>
      <c r="D433" s="3" t="str">
        <f>VLOOKUP(A433,Dataset!A:L,4,FALSE)</f>
        <v>Watches</v>
      </c>
      <c r="E433" s="3">
        <f>VLOOKUP(A433,Dataset!A:L,8,FALSE)</f>
        <v>0</v>
      </c>
      <c r="F433" s="3">
        <f>VLOOKUP(A433,Dataset!A:L,12,FALSE)</f>
        <v>2191.02</v>
      </c>
    </row>
    <row r="434" spans="1:6">
      <c r="A434" s="3">
        <v>1432</v>
      </c>
      <c r="B434" s="3" t="str">
        <f>VLOOKUP(A434,Dataset!A:L,2,FALSE)</f>
        <v>Steven Taylor</v>
      </c>
      <c r="C434" s="3" t="str">
        <f>VLOOKUP(A434,Dataset!A:L,3,FALSE)</f>
        <v>Shoes</v>
      </c>
      <c r="D434" s="3" t="str">
        <f>VLOOKUP(A434,Dataset!A:L,4,FALSE)</f>
        <v>Sneakers</v>
      </c>
      <c r="E434" s="3">
        <f>VLOOKUP(A434,Dataset!A:L,8,FALSE)</f>
        <v>0</v>
      </c>
      <c r="F434" s="3">
        <f>VLOOKUP(A434,Dataset!A:L,12,FALSE)</f>
        <v>-849.15</v>
      </c>
    </row>
    <row r="435" spans="1:6">
      <c r="A435" s="3">
        <v>1433</v>
      </c>
      <c r="B435" s="3" t="str">
        <f>VLOOKUP(A435,Dataset!A:L,2,FALSE)</f>
        <v>Jesse Cooke</v>
      </c>
      <c r="C435" s="3" t="str">
        <f>VLOOKUP(A435,Dataset!A:L,3,FALSE)</f>
        <v>T-Shirts</v>
      </c>
      <c r="D435" s="3" t="str">
        <f>VLOOKUP(A435,Dataset!A:L,4,FALSE)</f>
        <v>Oversized T-shirt</v>
      </c>
      <c r="E435" s="3">
        <f>VLOOKUP(A435,Dataset!A:L,8,FALSE)</f>
        <v>0</v>
      </c>
      <c r="F435" s="3">
        <f>VLOOKUP(A435,Dataset!A:L,12,FALSE)</f>
        <v>-878.85</v>
      </c>
    </row>
    <row r="436" spans="1:6">
      <c r="A436" s="3">
        <v>1434</v>
      </c>
      <c r="B436" s="3" t="str">
        <f>VLOOKUP(A436,Dataset!A:L,2,FALSE)</f>
        <v>Marie Sullivan</v>
      </c>
      <c r="C436" s="3" t="str">
        <f>VLOOKUP(A436,Dataset!A:L,3,FALSE)</f>
        <v>Jeans</v>
      </c>
      <c r="D436" s="3" t="str">
        <f>VLOOKUP(A436,Dataset!A:L,4,FALSE)</f>
        <v>Boyfriend Jeans</v>
      </c>
      <c r="E436" s="3">
        <f>VLOOKUP(A436,Dataset!A:L,8,FALSE)</f>
        <v>0</v>
      </c>
      <c r="F436" s="3">
        <f>VLOOKUP(A436,Dataset!A:L,12,FALSE)</f>
        <v>-310.8</v>
      </c>
    </row>
    <row r="437" spans="1:6">
      <c r="A437" s="3">
        <v>1435</v>
      </c>
      <c r="B437" s="3" t="str">
        <f>VLOOKUP(A437,Dataset!A:L,2,FALSE)</f>
        <v>Nicole Mills</v>
      </c>
      <c r="C437" s="3" t="str">
        <f>VLOOKUP(A437,Dataset!A:L,3,FALSE)</f>
        <v>T-Shirts</v>
      </c>
      <c r="D437" s="3" t="str">
        <f>VLOOKUP(A437,Dataset!A:L,4,FALSE)</f>
        <v>Classic Tee</v>
      </c>
      <c r="E437" s="3">
        <f>VLOOKUP(A437,Dataset!A:L,8,FALSE)</f>
        <v>0</v>
      </c>
      <c r="F437" s="3">
        <f>VLOOKUP(A437,Dataset!A:L,12,FALSE)</f>
        <v>904.65</v>
      </c>
    </row>
    <row r="438" spans="1:6">
      <c r="A438" s="3">
        <v>1436</v>
      </c>
      <c r="B438" s="3" t="str">
        <f>VLOOKUP(A438,Dataset!A:L,2,FALSE)</f>
        <v>Erin Yu</v>
      </c>
      <c r="C438" s="3" t="str">
        <f>VLOOKUP(A438,Dataset!A:L,3,FALSE)</f>
        <v>T-Shirts</v>
      </c>
      <c r="D438" s="3" t="str">
        <f>VLOOKUP(A438,Dataset!A:L,4,FALSE)</f>
        <v>Classic Tee</v>
      </c>
      <c r="E438" s="3">
        <f>VLOOKUP(A438,Dataset!A:L,8,FALSE)</f>
        <v>0</v>
      </c>
      <c r="F438" s="3">
        <f>VLOOKUP(A438,Dataset!A:L,12,FALSE)</f>
        <v>1445.93</v>
      </c>
    </row>
    <row r="439" spans="1:6">
      <c r="A439" s="3">
        <v>1437</v>
      </c>
      <c r="B439" s="3" t="str">
        <f>VLOOKUP(A439,Dataset!A:L,2,FALSE)</f>
        <v>Rachel Savage</v>
      </c>
      <c r="C439" s="3" t="str">
        <f>VLOOKUP(A439,Dataset!A:L,3,FALSE)</f>
        <v>Jeans</v>
      </c>
      <c r="D439" s="3" t="str">
        <f>VLOOKUP(A439,Dataset!A:L,4,FALSE)</f>
        <v>Boyfriend Jeans</v>
      </c>
      <c r="E439" s="3">
        <f>VLOOKUP(A439,Dataset!A:L,8,FALSE)</f>
        <v>0</v>
      </c>
      <c r="F439" s="3">
        <f>VLOOKUP(A439,Dataset!A:L,12,FALSE)</f>
        <v>131.47999999999999</v>
      </c>
    </row>
    <row r="440" spans="1:6">
      <c r="A440" s="3">
        <v>1438</v>
      </c>
      <c r="B440" s="3" t="str">
        <f>VLOOKUP(A440,Dataset!A:L,2,FALSE)</f>
        <v>Teresa Nichols</v>
      </c>
      <c r="C440" s="3" t="str">
        <f>VLOOKUP(A440,Dataset!A:L,3,FALSE)</f>
        <v>Dresses</v>
      </c>
      <c r="D440" s="3" t="str">
        <f>VLOOKUP(A440,Dataset!A:L,4,FALSE)</f>
        <v>Wrap Dress</v>
      </c>
      <c r="E440" s="3">
        <f>VLOOKUP(A440,Dataset!A:L,8,FALSE)</f>
        <v>0</v>
      </c>
      <c r="F440" s="3">
        <f>VLOOKUP(A440,Dataset!A:L,12,FALSE)</f>
        <v>1014.29</v>
      </c>
    </row>
    <row r="441" spans="1:6">
      <c r="A441" s="3">
        <v>1439</v>
      </c>
      <c r="B441" s="3" t="str">
        <f>VLOOKUP(A441,Dataset!A:L,2,FALSE)</f>
        <v>Elijah Anderson</v>
      </c>
      <c r="C441" s="3" t="str">
        <f>VLOOKUP(A441,Dataset!A:L,3,FALSE)</f>
        <v>T-Shirts</v>
      </c>
      <c r="D441" s="3" t="str">
        <f>VLOOKUP(A441,Dataset!A:L,4,FALSE)</f>
        <v>Graphic Tee</v>
      </c>
      <c r="E441" s="3">
        <f>VLOOKUP(A441,Dataset!A:L,8,FALSE)</f>
        <v>0</v>
      </c>
      <c r="F441" s="3">
        <f>VLOOKUP(A441,Dataset!A:L,12,FALSE)</f>
        <v>726.42</v>
      </c>
    </row>
    <row r="442" spans="1:6">
      <c r="A442" s="3">
        <v>1440</v>
      </c>
      <c r="B442" s="3" t="str">
        <f>VLOOKUP(A442,Dataset!A:L,2,FALSE)</f>
        <v>Candace Smith</v>
      </c>
      <c r="C442" s="3" t="str">
        <f>VLOOKUP(A442,Dataset!A:L,3,FALSE)</f>
        <v>Dresses</v>
      </c>
      <c r="D442" s="3" t="str">
        <f>VLOOKUP(A442,Dataset!A:L,4,FALSE)</f>
        <v>Bodycon</v>
      </c>
      <c r="E442" s="3">
        <f>VLOOKUP(A442,Dataset!A:L,8,FALSE)</f>
        <v>0</v>
      </c>
      <c r="F442" s="3">
        <f>VLOOKUP(A442,Dataset!A:L,12,FALSE)</f>
        <v>-476.72</v>
      </c>
    </row>
    <row r="443" spans="1:6">
      <c r="A443" s="3">
        <v>1441</v>
      </c>
      <c r="B443" s="3" t="str">
        <f>VLOOKUP(A443,Dataset!A:L,2,FALSE)</f>
        <v>Michelle Lara</v>
      </c>
      <c r="C443" s="3" t="str">
        <f>VLOOKUP(A443,Dataset!A:L,3,FALSE)</f>
        <v>Jeans</v>
      </c>
      <c r="D443" s="3" t="str">
        <f>VLOOKUP(A443,Dataset!A:L,4,FALSE)</f>
        <v>Slim Fit Jeans</v>
      </c>
      <c r="E443" s="3">
        <f>VLOOKUP(A443,Dataset!A:L,8,FALSE)</f>
        <v>0</v>
      </c>
      <c r="F443" s="3">
        <f>VLOOKUP(A443,Dataset!A:L,12,FALSE)</f>
        <v>-316.51</v>
      </c>
    </row>
    <row r="444" spans="1:6">
      <c r="A444" s="3">
        <v>1442</v>
      </c>
      <c r="B444" s="3" t="str">
        <f>VLOOKUP(A444,Dataset!A:L,2,FALSE)</f>
        <v>Emma Ramirez</v>
      </c>
      <c r="C444" s="3" t="str">
        <f>VLOOKUP(A444,Dataset!A:L,3,FALSE)</f>
        <v>Shoes</v>
      </c>
      <c r="D444" s="3" t="str">
        <f>VLOOKUP(A444,Dataset!A:L,4,FALSE)</f>
        <v>Slip-ons</v>
      </c>
      <c r="E444" s="3">
        <f>VLOOKUP(A444,Dataset!A:L,8,FALSE)</f>
        <v>0</v>
      </c>
      <c r="F444" s="3">
        <f>VLOOKUP(A444,Dataset!A:L,12,FALSE)</f>
        <v>1218.28</v>
      </c>
    </row>
    <row r="445" spans="1:6">
      <c r="A445" s="3">
        <v>1443</v>
      </c>
      <c r="B445" s="3" t="str">
        <f>VLOOKUP(A445,Dataset!A:L,2,FALSE)</f>
        <v>Danielle Shelton</v>
      </c>
      <c r="C445" s="3" t="str">
        <f>VLOOKUP(A445,Dataset!A:L,3,FALSE)</f>
        <v>T-Shirts</v>
      </c>
      <c r="D445" s="3" t="str">
        <f>VLOOKUP(A445,Dataset!A:L,4,FALSE)</f>
        <v>Crop Top</v>
      </c>
      <c r="E445" s="3">
        <f>VLOOKUP(A445,Dataset!A:L,8,FALSE)</f>
        <v>0</v>
      </c>
      <c r="F445" s="3">
        <f>VLOOKUP(A445,Dataset!A:L,12,FALSE)</f>
        <v>2962.6</v>
      </c>
    </row>
    <row r="446" spans="1:6">
      <c r="A446" s="3">
        <v>1444</v>
      </c>
      <c r="B446" s="3" t="str">
        <f>VLOOKUP(A446,Dataset!A:L,2,FALSE)</f>
        <v>Paula Leon</v>
      </c>
      <c r="C446" s="3" t="str">
        <f>VLOOKUP(A446,Dataset!A:L,3,FALSE)</f>
        <v>Accessories</v>
      </c>
      <c r="D446" s="3" t="str">
        <f>VLOOKUP(A446,Dataset!A:L,4,FALSE)</f>
        <v>Watches</v>
      </c>
      <c r="E446" s="3">
        <f>VLOOKUP(A446,Dataset!A:L,8,FALSE)</f>
        <v>0</v>
      </c>
      <c r="F446" s="3">
        <f>VLOOKUP(A446,Dataset!A:L,12,FALSE)</f>
        <v>810.8</v>
      </c>
    </row>
    <row r="447" spans="1:6">
      <c r="A447" s="3">
        <v>1445</v>
      </c>
      <c r="B447" s="3" t="str">
        <f>VLOOKUP(A447,Dataset!A:L,2,FALSE)</f>
        <v>Dr. Dennis Pena</v>
      </c>
      <c r="C447" s="3" t="str">
        <f>VLOOKUP(A447,Dataset!A:L,3,FALSE)</f>
        <v>Jackets</v>
      </c>
      <c r="D447" s="3" t="str">
        <f>VLOOKUP(A447,Dataset!A:L,4,FALSE)</f>
        <v>Bomber Jacket</v>
      </c>
      <c r="E447" s="3">
        <f>VLOOKUP(A447,Dataset!A:L,8,FALSE)</f>
        <v>0</v>
      </c>
      <c r="F447" s="3">
        <f>VLOOKUP(A447,Dataset!A:L,12,FALSE)</f>
        <v>2846.13</v>
      </c>
    </row>
    <row r="448" spans="1:6">
      <c r="A448" s="3">
        <v>1446</v>
      </c>
      <c r="B448" s="3" t="str">
        <f>VLOOKUP(A448,Dataset!A:L,2,FALSE)</f>
        <v>Kelsey Wright</v>
      </c>
      <c r="C448" s="3" t="str">
        <f>VLOOKUP(A448,Dataset!A:L,3,FALSE)</f>
        <v>Shoes</v>
      </c>
      <c r="D448" s="3" t="str">
        <f>VLOOKUP(A448,Dataset!A:L,4,FALSE)</f>
        <v>Loafers</v>
      </c>
      <c r="E448" s="3">
        <f>VLOOKUP(A448,Dataset!A:L,8,FALSE)</f>
        <v>0</v>
      </c>
      <c r="F448" s="3">
        <f>VLOOKUP(A448,Dataset!A:L,12,FALSE)</f>
        <v>-602.57000000000005</v>
      </c>
    </row>
    <row r="449" spans="1:6">
      <c r="A449" s="3">
        <v>1031</v>
      </c>
      <c r="B449" s="3" t="str">
        <f>VLOOKUP(A449,Dataset!A:L,2,FALSE)</f>
        <v>Lauren Jensen</v>
      </c>
      <c r="C449" s="3" t="str">
        <f>VLOOKUP(A449,Dataset!A:L,3,FALSE)</f>
        <v>Dresses</v>
      </c>
      <c r="D449" s="3" t="str">
        <f>VLOOKUP(A449,Dataset!A:L,4,FALSE)</f>
        <v>Wrap Dress</v>
      </c>
      <c r="E449" s="3">
        <f>VLOOKUP(A449,Dataset!A:L,8,FALSE)</f>
        <v>0</v>
      </c>
      <c r="F449" s="3">
        <f>VLOOKUP(A449,Dataset!A:L,12,FALSE)</f>
        <v>-863.9</v>
      </c>
    </row>
    <row r="450" spans="1:6">
      <c r="A450" s="3">
        <v>1448</v>
      </c>
      <c r="B450" s="3" t="str">
        <f>VLOOKUP(A450,Dataset!A:L,2,FALSE)</f>
        <v>Brandon Andrews</v>
      </c>
      <c r="C450" s="3" t="str">
        <f>VLOOKUP(A450,Dataset!A:L,3,FALSE)</f>
        <v>Jeans</v>
      </c>
      <c r="D450" s="3" t="str">
        <f>VLOOKUP(A450,Dataset!A:L,4,FALSE)</f>
        <v>Slim Fit Jeans</v>
      </c>
      <c r="E450" s="3">
        <f>VLOOKUP(A450,Dataset!A:L,8,FALSE)</f>
        <v>0</v>
      </c>
      <c r="F450" s="3">
        <f>VLOOKUP(A450,Dataset!A:L,12,FALSE)</f>
        <v>1948.49</v>
      </c>
    </row>
    <row r="451" spans="1:6">
      <c r="A451" s="3">
        <v>1449</v>
      </c>
      <c r="B451" s="3" t="str">
        <f>VLOOKUP(A451,Dataset!A:L,2,FALSE)</f>
        <v>Michelle Phillips</v>
      </c>
      <c r="C451" s="3" t="str">
        <f>VLOOKUP(A451,Dataset!A:L,3,FALSE)</f>
        <v>Jeans</v>
      </c>
      <c r="D451" s="3" t="str">
        <f>VLOOKUP(A451,Dataset!A:L,4,FALSE)</f>
        <v>Straight Cut</v>
      </c>
      <c r="E451" s="3">
        <f>VLOOKUP(A451,Dataset!A:L,8,FALSE)</f>
        <v>0</v>
      </c>
      <c r="F451" s="3">
        <f>VLOOKUP(A451,Dataset!A:L,12,FALSE)</f>
        <v>2598.7399999999998</v>
      </c>
    </row>
    <row r="452" spans="1:6">
      <c r="A452" s="3">
        <v>1043</v>
      </c>
      <c r="B452" s="3" t="str">
        <f>VLOOKUP(A452,Dataset!A:L,2,FALSE)</f>
        <v>Deborah Walker</v>
      </c>
      <c r="C452" s="3" t="str">
        <f>VLOOKUP(A452,Dataset!A:L,3,FALSE)</f>
        <v>T-Shirts</v>
      </c>
      <c r="D452" s="3" t="str">
        <f>VLOOKUP(A452,Dataset!A:L,4,FALSE)</f>
        <v>Graphic Tee</v>
      </c>
      <c r="E452" s="3">
        <f>VLOOKUP(A452,Dataset!A:L,8,FALSE)</f>
        <v>0</v>
      </c>
      <c r="F452" s="3">
        <f>VLOOKUP(A452,Dataset!A:L,12,FALSE)</f>
        <v>442.14</v>
      </c>
    </row>
    <row r="453" spans="1:6">
      <c r="A453" s="3">
        <v>1451</v>
      </c>
      <c r="B453" s="3" t="str">
        <f>VLOOKUP(A453,Dataset!A:L,2,FALSE)</f>
        <v>Rebecca Murphy</v>
      </c>
      <c r="C453" s="3" t="str">
        <f>VLOOKUP(A453,Dataset!A:L,3,FALSE)</f>
        <v>Shoes</v>
      </c>
      <c r="D453" s="3" t="str">
        <f>VLOOKUP(A453,Dataset!A:L,4,FALSE)</f>
        <v>Slip-ons</v>
      </c>
      <c r="E453" s="3">
        <f>VLOOKUP(A453,Dataset!A:L,8,FALSE)</f>
        <v>0</v>
      </c>
      <c r="F453" s="3">
        <f>VLOOKUP(A453,Dataset!A:L,12,FALSE)</f>
        <v>1553.39</v>
      </c>
    </row>
    <row r="454" spans="1:6">
      <c r="A454" s="3">
        <v>1452</v>
      </c>
      <c r="B454" s="3" t="str">
        <f>VLOOKUP(A454,Dataset!A:L,2,FALSE)</f>
        <v>Ricardo Kent</v>
      </c>
      <c r="C454" s="3" t="str">
        <f>VLOOKUP(A454,Dataset!A:L,3,FALSE)</f>
        <v>Accessories</v>
      </c>
      <c r="D454" s="3" t="str">
        <f>VLOOKUP(A454,Dataset!A:L,4,FALSE)</f>
        <v>Sunglasses</v>
      </c>
      <c r="E454" s="3">
        <f>VLOOKUP(A454,Dataset!A:L,8,FALSE)</f>
        <v>-3511.57</v>
      </c>
      <c r="F454" s="3">
        <f>VLOOKUP(A454,Dataset!A:L,12,FALSE)</f>
        <v>918.54</v>
      </c>
    </row>
    <row r="455" spans="1:6">
      <c r="A455" s="3">
        <v>1453</v>
      </c>
      <c r="B455" s="3" t="str">
        <f>VLOOKUP(A455,Dataset!A:L,2,FALSE)</f>
        <v>Justin Carpenter</v>
      </c>
      <c r="C455" s="3" t="str">
        <f>VLOOKUP(A455,Dataset!A:L,3,FALSE)</f>
        <v>Jeans</v>
      </c>
      <c r="D455" s="3" t="str">
        <f>VLOOKUP(A455,Dataset!A:L,4,FALSE)</f>
        <v>Straight Cut</v>
      </c>
      <c r="E455" s="3">
        <f>VLOOKUP(A455,Dataset!A:L,8,FALSE)</f>
        <v>0</v>
      </c>
      <c r="F455" s="3">
        <f>VLOOKUP(A455,Dataset!A:L,12,FALSE)</f>
        <v>1465.97</v>
      </c>
    </row>
    <row r="456" spans="1:6">
      <c r="A456" s="3">
        <v>1454</v>
      </c>
      <c r="B456" s="3" t="str">
        <f>VLOOKUP(A456,Dataset!A:L,2,FALSE)</f>
        <v>Justin Clements</v>
      </c>
      <c r="C456" s="3" t="str">
        <f>VLOOKUP(A456,Dataset!A:L,3,FALSE)</f>
        <v>Accessories</v>
      </c>
      <c r="D456" s="3" t="str">
        <f>VLOOKUP(A456,Dataset!A:L,4,FALSE)</f>
        <v>Sunglasses</v>
      </c>
      <c r="E456" s="3">
        <f>VLOOKUP(A456,Dataset!A:L,8,FALSE)</f>
        <v>0</v>
      </c>
      <c r="F456" s="3">
        <f>VLOOKUP(A456,Dataset!A:L,12,FALSE)</f>
        <v>2424.44</v>
      </c>
    </row>
    <row r="457" spans="1:6">
      <c r="A457" s="3">
        <v>1455</v>
      </c>
      <c r="B457" s="3" t="str">
        <f>VLOOKUP(A457,Dataset!A:L,2,FALSE)</f>
        <v>Patty Thomas</v>
      </c>
      <c r="C457" s="3" t="str">
        <f>VLOOKUP(A457,Dataset!A:L,3,FALSE)</f>
        <v>T-Shirts</v>
      </c>
      <c r="D457" s="3" t="str">
        <f>VLOOKUP(A457,Dataset!A:L,4,FALSE)</f>
        <v>Classic Tee</v>
      </c>
      <c r="E457" s="3">
        <f>VLOOKUP(A457,Dataset!A:L,8,FALSE)</f>
        <v>0</v>
      </c>
      <c r="F457" s="3">
        <f>VLOOKUP(A457,Dataset!A:L,12,FALSE)</f>
        <v>743.47</v>
      </c>
    </row>
    <row r="458" spans="1:6">
      <c r="A458" s="3">
        <v>1456</v>
      </c>
      <c r="B458" s="3" t="str">
        <f>VLOOKUP(A458,Dataset!A:L,2,FALSE)</f>
        <v>Madison Berry</v>
      </c>
      <c r="C458" s="3" t="str">
        <f>VLOOKUP(A458,Dataset!A:L,3,FALSE)</f>
        <v>T-Shirts</v>
      </c>
      <c r="D458" s="3" t="str">
        <f>VLOOKUP(A458,Dataset!A:L,4,FALSE)</f>
        <v>Graphic Tee</v>
      </c>
      <c r="E458" s="3">
        <f>VLOOKUP(A458,Dataset!A:L,8,FALSE)</f>
        <v>0</v>
      </c>
      <c r="F458" s="3">
        <f>VLOOKUP(A458,Dataset!A:L,12,FALSE)</f>
        <v>1350.12</v>
      </c>
    </row>
    <row r="459" spans="1:6">
      <c r="A459" s="3">
        <v>1457</v>
      </c>
      <c r="B459" s="3" t="str">
        <f>VLOOKUP(A459,Dataset!A:L,2,FALSE)</f>
        <v>Danielle Washington</v>
      </c>
      <c r="C459" s="3" t="str">
        <f>VLOOKUP(A459,Dataset!A:L,3,FALSE)</f>
        <v>Accessories</v>
      </c>
      <c r="D459" s="3" t="str">
        <f>VLOOKUP(A459,Dataset!A:L,4,FALSE)</f>
        <v>Watches</v>
      </c>
      <c r="E459" s="3">
        <f>VLOOKUP(A459,Dataset!A:L,8,FALSE)</f>
        <v>0</v>
      </c>
      <c r="F459" s="3">
        <f>VLOOKUP(A459,Dataset!A:L,12,FALSE)</f>
        <v>750.64</v>
      </c>
    </row>
    <row r="460" spans="1:6">
      <c r="A460" s="3">
        <v>1458</v>
      </c>
      <c r="B460" s="3" t="str">
        <f>VLOOKUP(A460,Dataset!A:L,2,FALSE)</f>
        <v>Rachel Marshall</v>
      </c>
      <c r="C460" s="3" t="str">
        <f>VLOOKUP(A460,Dataset!A:L,3,FALSE)</f>
        <v>Jackets</v>
      </c>
      <c r="D460" s="3" t="str">
        <f>VLOOKUP(A460,Dataset!A:L,4,FALSE)</f>
        <v>Puffer Coat</v>
      </c>
      <c r="E460" s="3">
        <f>VLOOKUP(A460,Dataset!A:L,8,FALSE)</f>
        <v>0</v>
      </c>
      <c r="F460" s="3">
        <f>VLOOKUP(A460,Dataset!A:L,12,FALSE)</f>
        <v>1877.22</v>
      </c>
    </row>
    <row r="461" spans="1:6">
      <c r="A461" s="3">
        <v>1459</v>
      </c>
      <c r="B461" s="3" t="str">
        <f>VLOOKUP(A461,Dataset!A:L,2,FALSE)</f>
        <v>Anna King</v>
      </c>
      <c r="C461" s="3" t="str">
        <f>VLOOKUP(A461,Dataset!A:L,3,FALSE)</f>
        <v>Accessories</v>
      </c>
      <c r="D461" s="3" t="str">
        <f>VLOOKUP(A461,Dataset!A:L,4,FALSE)</f>
        <v>Sunglasses</v>
      </c>
      <c r="E461" s="3">
        <f>VLOOKUP(A461,Dataset!A:L,8,FALSE)</f>
        <v>0</v>
      </c>
      <c r="F461" s="3">
        <f>VLOOKUP(A461,Dataset!A:L,12,FALSE)</f>
        <v>2959.95</v>
      </c>
    </row>
    <row r="462" spans="1:6">
      <c r="A462" s="3">
        <v>1460</v>
      </c>
      <c r="B462" s="3" t="str">
        <f>VLOOKUP(A462,Dataset!A:L,2,FALSE)</f>
        <v>Leah Chaney</v>
      </c>
      <c r="C462" s="3" t="str">
        <f>VLOOKUP(A462,Dataset!A:L,3,FALSE)</f>
        <v>Jackets</v>
      </c>
      <c r="D462" s="3" t="str">
        <f>VLOOKUP(A462,Dataset!A:L,4,FALSE)</f>
        <v>Leather Jacket</v>
      </c>
      <c r="E462" s="3">
        <f>VLOOKUP(A462,Dataset!A:L,8,FALSE)</f>
        <v>0</v>
      </c>
      <c r="F462" s="3">
        <f>VLOOKUP(A462,Dataset!A:L,12,FALSE)</f>
        <v>921.96</v>
      </c>
    </row>
    <row r="463" spans="1:6">
      <c r="A463" s="3">
        <v>1461</v>
      </c>
      <c r="B463" s="3" t="str">
        <f>VLOOKUP(A463,Dataset!A:L,2,FALSE)</f>
        <v>Rebecca Leach</v>
      </c>
      <c r="C463" s="3" t="str">
        <f>VLOOKUP(A463,Dataset!A:L,3,FALSE)</f>
        <v>Dresses</v>
      </c>
      <c r="D463" s="3" t="str">
        <f>VLOOKUP(A463,Dataset!A:L,4,FALSE)</f>
        <v>Casual Midi</v>
      </c>
      <c r="E463" s="3">
        <f>VLOOKUP(A463,Dataset!A:L,8,FALSE)</f>
        <v>0</v>
      </c>
      <c r="F463" s="3">
        <f>VLOOKUP(A463,Dataset!A:L,12,FALSE)</f>
        <v>941.87</v>
      </c>
    </row>
    <row r="464" spans="1:6">
      <c r="A464" s="3">
        <v>1462</v>
      </c>
      <c r="B464" s="3" t="str">
        <f>VLOOKUP(A464,Dataset!A:L,2,FALSE)</f>
        <v>Miranda Higgins</v>
      </c>
      <c r="C464" s="3" t="str">
        <f>VLOOKUP(A464,Dataset!A:L,3,FALSE)</f>
        <v>Jackets</v>
      </c>
      <c r="D464" s="3" t="str">
        <f>VLOOKUP(A464,Dataset!A:L,4,FALSE)</f>
        <v>Puffer Coat</v>
      </c>
      <c r="E464" s="3">
        <f>VLOOKUP(A464,Dataset!A:L,8,FALSE)</f>
        <v>0</v>
      </c>
      <c r="F464" s="3">
        <f>VLOOKUP(A464,Dataset!A:L,12,FALSE)</f>
        <v>372.63</v>
      </c>
    </row>
    <row r="465" spans="1:6">
      <c r="A465" s="3">
        <v>1463</v>
      </c>
      <c r="B465" s="3" t="str">
        <f>VLOOKUP(A465,Dataset!A:L,2,FALSE)</f>
        <v>Danielle Gonzales</v>
      </c>
      <c r="C465" s="3" t="str">
        <f>VLOOKUP(A465,Dataset!A:L,3,FALSE)</f>
        <v>Dresses</v>
      </c>
      <c r="D465" s="3" t="str">
        <f>VLOOKUP(A465,Dataset!A:L,4,FALSE)</f>
        <v>Wrap Dress</v>
      </c>
      <c r="E465" s="3">
        <f>VLOOKUP(A465,Dataset!A:L,8,FALSE)</f>
        <v>-552.73</v>
      </c>
      <c r="F465" s="3">
        <f>VLOOKUP(A465,Dataset!A:L,12,FALSE)</f>
        <v>-877.13</v>
      </c>
    </row>
    <row r="466" spans="1:6">
      <c r="A466" s="3">
        <v>1464</v>
      </c>
      <c r="B466" s="3" t="str">
        <f>VLOOKUP(A466,Dataset!A:L,2,FALSE)</f>
        <v>Jill Johnson</v>
      </c>
      <c r="C466" s="3" t="str">
        <f>VLOOKUP(A466,Dataset!A:L,3,FALSE)</f>
        <v>Dresses</v>
      </c>
      <c r="D466" s="3" t="str">
        <f>VLOOKUP(A466,Dataset!A:L,4,FALSE)</f>
        <v>Wrap Dress</v>
      </c>
      <c r="E466" s="3">
        <f>VLOOKUP(A466,Dataset!A:L,8,FALSE)</f>
        <v>0</v>
      </c>
      <c r="F466" s="3">
        <f>VLOOKUP(A466,Dataset!A:L,12,FALSE)</f>
        <v>837.3</v>
      </c>
    </row>
    <row r="467" spans="1:6">
      <c r="A467" s="3">
        <v>1465</v>
      </c>
      <c r="B467" s="3" t="str">
        <f>VLOOKUP(A467,Dataset!A:L,2,FALSE)</f>
        <v>William Peck</v>
      </c>
      <c r="C467" s="3" t="str">
        <f>VLOOKUP(A467,Dataset!A:L,3,FALSE)</f>
        <v>Accessories</v>
      </c>
      <c r="D467" s="3" t="str">
        <f>VLOOKUP(A467,Dataset!A:L,4,FALSE)</f>
        <v>Belts</v>
      </c>
      <c r="E467" s="3">
        <f>VLOOKUP(A467,Dataset!A:L,8,FALSE)</f>
        <v>-177.23</v>
      </c>
      <c r="F467" s="3">
        <f>VLOOKUP(A467,Dataset!A:L,12,FALSE)</f>
        <v>-85.73</v>
      </c>
    </row>
    <row r="468" spans="1:6">
      <c r="A468" s="3">
        <v>1014</v>
      </c>
      <c r="B468" s="3" t="str">
        <f>VLOOKUP(A468,Dataset!A:L,2,FALSE)</f>
        <v>Richard Hood</v>
      </c>
      <c r="C468" s="3" t="str">
        <f>VLOOKUP(A468,Dataset!A:L,3,FALSE)</f>
        <v>Shoes</v>
      </c>
      <c r="D468" s="3" t="str">
        <f>VLOOKUP(A468,Dataset!A:L,4,FALSE)</f>
        <v>Loafers</v>
      </c>
      <c r="E468" s="3">
        <f>VLOOKUP(A468,Dataset!A:L,8,FALSE)</f>
        <v>0</v>
      </c>
      <c r="F468" s="3">
        <f>VLOOKUP(A468,Dataset!A:L,12,FALSE)</f>
        <v>-889.25</v>
      </c>
    </row>
    <row r="469" spans="1:6">
      <c r="A469" s="3">
        <v>1030</v>
      </c>
      <c r="B469" s="3" t="str">
        <f>VLOOKUP(A469,Dataset!A:L,2,FALSE)</f>
        <v>Brandi Jones</v>
      </c>
      <c r="C469" s="3" t="str">
        <f>VLOOKUP(A469,Dataset!A:L,3,FALSE)</f>
        <v>Dresses</v>
      </c>
      <c r="D469" s="3" t="str">
        <f>VLOOKUP(A469,Dataset!A:L,4,FALSE)</f>
        <v>Maxi Dress</v>
      </c>
      <c r="E469" s="3">
        <f>VLOOKUP(A469,Dataset!A:L,8,FALSE)</f>
        <v>0</v>
      </c>
      <c r="F469" s="3">
        <f>VLOOKUP(A469,Dataset!A:L,12,FALSE)</f>
        <v>1155.3800000000001</v>
      </c>
    </row>
    <row r="470" spans="1:6">
      <c r="A470" s="3">
        <v>1468</v>
      </c>
      <c r="B470" s="3" t="str">
        <f>VLOOKUP(A470,Dataset!A:L,2,FALSE)</f>
        <v>Jeremy Nash</v>
      </c>
      <c r="C470" s="3" t="str">
        <f>VLOOKUP(A470,Dataset!A:L,3,FALSE)</f>
        <v>T-Shirts</v>
      </c>
      <c r="D470" s="3" t="str">
        <f>VLOOKUP(A470,Dataset!A:L,4,FALSE)</f>
        <v>Graphic Tee</v>
      </c>
      <c r="E470" s="3">
        <f>VLOOKUP(A470,Dataset!A:L,8,FALSE)</f>
        <v>0</v>
      </c>
      <c r="F470" s="3">
        <f>VLOOKUP(A470,Dataset!A:L,12,FALSE)</f>
        <v>733.66</v>
      </c>
    </row>
    <row r="471" spans="1:6">
      <c r="A471" s="3">
        <v>1469</v>
      </c>
      <c r="B471" s="3" t="str">
        <f>VLOOKUP(A471,Dataset!A:L,2,FALSE)</f>
        <v>Craig Conner MD</v>
      </c>
      <c r="C471" s="3" t="str">
        <f>VLOOKUP(A471,Dataset!A:L,3,FALSE)</f>
        <v>Dresses</v>
      </c>
      <c r="D471" s="3" t="str">
        <f>VLOOKUP(A471,Dataset!A:L,4,FALSE)</f>
        <v>Wrap Dress</v>
      </c>
      <c r="E471" s="3">
        <f>VLOOKUP(A471,Dataset!A:L,8,FALSE)</f>
        <v>0</v>
      </c>
      <c r="F471" s="3">
        <f>VLOOKUP(A471,Dataset!A:L,12,FALSE)</f>
        <v>1644.72</v>
      </c>
    </row>
    <row r="472" spans="1:6">
      <c r="A472" s="3">
        <v>1470</v>
      </c>
      <c r="B472" s="3" t="str">
        <f>VLOOKUP(A472,Dataset!A:L,2,FALSE)</f>
        <v>Victoria Hayden</v>
      </c>
      <c r="C472" s="3" t="str">
        <f>VLOOKUP(A472,Dataset!A:L,3,FALSE)</f>
        <v>T-Shirts</v>
      </c>
      <c r="D472" s="3" t="str">
        <f>VLOOKUP(A472,Dataset!A:L,4,FALSE)</f>
        <v>Oversized T-shirt</v>
      </c>
      <c r="E472" s="3">
        <f>VLOOKUP(A472,Dataset!A:L,8,FALSE)</f>
        <v>0</v>
      </c>
      <c r="F472" s="3">
        <f>VLOOKUP(A472,Dataset!A:L,12,FALSE)</f>
        <v>0.59</v>
      </c>
    </row>
    <row r="473" spans="1:6">
      <c r="A473" s="3">
        <v>1471</v>
      </c>
      <c r="B473" s="3" t="str">
        <f>VLOOKUP(A473,Dataset!A:L,2,FALSE)</f>
        <v>Tammy Johnson</v>
      </c>
      <c r="C473" s="3" t="str">
        <f>VLOOKUP(A473,Dataset!A:L,3,FALSE)</f>
        <v>Accessories</v>
      </c>
      <c r="D473" s="3" t="str">
        <f>VLOOKUP(A473,Dataset!A:L,4,FALSE)</f>
        <v>Belts</v>
      </c>
      <c r="E473" s="3">
        <f>VLOOKUP(A473,Dataset!A:L,8,FALSE)</f>
        <v>-7518.33</v>
      </c>
      <c r="F473" s="3">
        <f>VLOOKUP(A473,Dataset!A:L,12,FALSE)</f>
        <v>-605.66999999999996</v>
      </c>
    </row>
    <row r="474" spans="1:6">
      <c r="A474" s="3">
        <v>1472</v>
      </c>
      <c r="B474" s="3" t="str">
        <f>VLOOKUP(A474,Dataset!A:L,2,FALSE)</f>
        <v>William Mullins</v>
      </c>
      <c r="C474" s="3" t="str">
        <f>VLOOKUP(A474,Dataset!A:L,3,FALSE)</f>
        <v>Accessories</v>
      </c>
      <c r="D474" s="3" t="str">
        <f>VLOOKUP(A474,Dataset!A:L,4,FALSE)</f>
        <v>Belts</v>
      </c>
      <c r="E474" s="3">
        <f>VLOOKUP(A474,Dataset!A:L,8,FALSE)</f>
        <v>0</v>
      </c>
      <c r="F474" s="3">
        <f>VLOOKUP(A474,Dataset!A:L,12,FALSE)</f>
        <v>-69.28</v>
      </c>
    </row>
    <row r="475" spans="1:6">
      <c r="A475" s="3">
        <v>1473</v>
      </c>
      <c r="B475" s="3" t="str">
        <f>VLOOKUP(A475,Dataset!A:L,2,FALSE)</f>
        <v>Alicia Reynolds</v>
      </c>
      <c r="C475" s="3" t="str">
        <f>VLOOKUP(A475,Dataset!A:L,3,FALSE)</f>
        <v>T-Shirts</v>
      </c>
      <c r="D475" s="3" t="str">
        <f>VLOOKUP(A475,Dataset!A:L,4,FALSE)</f>
        <v>Graphic Tee</v>
      </c>
      <c r="E475" s="3">
        <f>VLOOKUP(A475,Dataset!A:L,8,FALSE)</f>
        <v>0</v>
      </c>
      <c r="F475" s="3">
        <f>VLOOKUP(A475,Dataset!A:L,12,FALSE)</f>
        <v>1769.11</v>
      </c>
    </row>
    <row r="476" spans="1:6">
      <c r="A476" s="3">
        <v>1474</v>
      </c>
      <c r="B476" s="3" t="str">
        <f>VLOOKUP(A476,Dataset!A:L,2,FALSE)</f>
        <v>Rachel Shelton</v>
      </c>
      <c r="C476" s="3" t="str">
        <f>VLOOKUP(A476,Dataset!A:L,3,FALSE)</f>
        <v>Jackets</v>
      </c>
      <c r="D476" s="3" t="str">
        <f>VLOOKUP(A476,Dataset!A:L,4,FALSE)</f>
        <v>Denim Jacket</v>
      </c>
      <c r="E476" s="3">
        <f>VLOOKUP(A476,Dataset!A:L,8,FALSE)</f>
        <v>0</v>
      </c>
      <c r="F476" s="3">
        <f>VLOOKUP(A476,Dataset!A:L,12,FALSE)</f>
        <v>1791.38</v>
      </c>
    </row>
    <row r="477" spans="1:6">
      <c r="A477" s="3">
        <v>1475</v>
      </c>
      <c r="B477" s="3" t="str">
        <f>VLOOKUP(A477,Dataset!A:L,2,FALSE)</f>
        <v>Nancy James</v>
      </c>
      <c r="C477" s="3" t="str">
        <f>VLOOKUP(A477,Dataset!A:L,3,FALSE)</f>
        <v>T-Shirts</v>
      </c>
      <c r="D477" s="3" t="str">
        <f>VLOOKUP(A477,Dataset!A:L,4,FALSE)</f>
        <v>Oversized T-shirt</v>
      </c>
      <c r="E477" s="3">
        <f>VLOOKUP(A477,Dataset!A:L,8,FALSE)</f>
        <v>0</v>
      </c>
      <c r="F477" s="3">
        <f>VLOOKUP(A477,Dataset!A:L,12,FALSE)</f>
        <v>433.87</v>
      </c>
    </row>
    <row r="478" spans="1:6">
      <c r="A478" s="3">
        <v>1476</v>
      </c>
      <c r="B478" s="3" t="str">
        <f>VLOOKUP(A478,Dataset!A:L,2,FALSE)</f>
        <v>Seth Gonzalez</v>
      </c>
      <c r="C478" s="3" t="str">
        <f>VLOOKUP(A478,Dataset!A:L,3,FALSE)</f>
        <v>Jeans</v>
      </c>
      <c r="D478" s="3" t="str">
        <f>VLOOKUP(A478,Dataset!A:L,4,FALSE)</f>
        <v>Ripped Denim</v>
      </c>
      <c r="E478" s="3">
        <f>VLOOKUP(A478,Dataset!A:L,8,FALSE)</f>
        <v>0</v>
      </c>
      <c r="F478" s="3">
        <f>VLOOKUP(A478,Dataset!A:L,12,FALSE)</f>
        <v>1476.41</v>
      </c>
    </row>
    <row r="479" spans="1:6">
      <c r="A479" s="3">
        <v>1477</v>
      </c>
      <c r="B479" s="3" t="str">
        <f>VLOOKUP(A479,Dataset!A:L,2,FALSE)</f>
        <v>Rachel Allen</v>
      </c>
      <c r="C479" s="3" t="str">
        <f>VLOOKUP(A479,Dataset!A:L,3,FALSE)</f>
        <v>Dresses</v>
      </c>
      <c r="D479" s="3" t="str">
        <f>VLOOKUP(A479,Dataset!A:L,4,FALSE)</f>
        <v>Bodycon</v>
      </c>
      <c r="E479" s="3">
        <f>VLOOKUP(A479,Dataset!A:L,8,FALSE)</f>
        <v>0</v>
      </c>
      <c r="F479" s="3">
        <f>VLOOKUP(A479,Dataset!A:L,12,FALSE)</f>
        <v>1295.82</v>
      </c>
    </row>
    <row r="480" spans="1:6">
      <c r="A480" s="3">
        <v>1478</v>
      </c>
      <c r="B480" s="3" t="str">
        <f>VLOOKUP(A480,Dataset!A:L,2,FALSE)</f>
        <v>Jaclyn Lynch</v>
      </c>
      <c r="C480" s="3" t="str">
        <f>VLOOKUP(A480,Dataset!A:L,3,FALSE)</f>
        <v>Jackets</v>
      </c>
      <c r="D480" s="3" t="str">
        <f>VLOOKUP(A480,Dataset!A:L,4,FALSE)</f>
        <v>Denim Jacket</v>
      </c>
      <c r="E480" s="3">
        <f>VLOOKUP(A480,Dataset!A:L,8,FALSE)</f>
        <v>0</v>
      </c>
      <c r="F480" s="3">
        <f>VLOOKUP(A480,Dataset!A:L,12,FALSE)</f>
        <v>-584.69000000000005</v>
      </c>
    </row>
    <row r="481" spans="1:6">
      <c r="A481" s="3">
        <v>1479</v>
      </c>
      <c r="B481" s="3" t="str">
        <f>VLOOKUP(A481,Dataset!A:L,2,FALSE)</f>
        <v>Vicki Peterson DDS</v>
      </c>
      <c r="C481" s="3" t="str">
        <f>VLOOKUP(A481,Dataset!A:L,3,FALSE)</f>
        <v>Dresses</v>
      </c>
      <c r="D481" s="3" t="str">
        <f>VLOOKUP(A481,Dataset!A:L,4,FALSE)</f>
        <v>Maxi Dress</v>
      </c>
      <c r="E481" s="3">
        <f>VLOOKUP(A481,Dataset!A:L,8,FALSE)</f>
        <v>0</v>
      </c>
      <c r="F481" s="3">
        <f>VLOOKUP(A481,Dataset!A:L,12,FALSE)</f>
        <v>-575.87</v>
      </c>
    </row>
    <row r="482" spans="1:6">
      <c r="A482" s="3">
        <v>1480</v>
      </c>
      <c r="B482" s="3" t="str">
        <f>VLOOKUP(A482,Dataset!A:L,2,FALSE)</f>
        <v>Troy Love</v>
      </c>
      <c r="C482" s="3" t="str">
        <f>VLOOKUP(A482,Dataset!A:L,3,FALSE)</f>
        <v>Jackets</v>
      </c>
      <c r="D482" s="3" t="str">
        <f>VLOOKUP(A482,Dataset!A:L,4,FALSE)</f>
        <v>Denim Jacket</v>
      </c>
      <c r="E482" s="3">
        <f>VLOOKUP(A482,Dataset!A:L,8,FALSE)</f>
        <v>0</v>
      </c>
      <c r="F482" s="3">
        <f>VLOOKUP(A482,Dataset!A:L,12,FALSE)</f>
        <v>2956.26</v>
      </c>
    </row>
    <row r="483" spans="1:6">
      <c r="A483" s="3">
        <v>1481</v>
      </c>
      <c r="B483" s="3" t="str">
        <f>VLOOKUP(A483,Dataset!A:L,2,FALSE)</f>
        <v>David Baker</v>
      </c>
      <c r="C483" s="3" t="str">
        <f>VLOOKUP(A483,Dataset!A:L,3,FALSE)</f>
        <v>Accessories</v>
      </c>
      <c r="D483" s="3" t="str">
        <f>VLOOKUP(A483,Dataset!A:L,4,FALSE)</f>
        <v>Watches</v>
      </c>
      <c r="E483" s="3">
        <f>VLOOKUP(A483,Dataset!A:L,8,FALSE)</f>
        <v>0</v>
      </c>
      <c r="F483" s="3">
        <f>VLOOKUP(A483,Dataset!A:L,12,FALSE)</f>
        <v>375</v>
      </c>
    </row>
    <row r="484" spans="1:6">
      <c r="A484" s="3">
        <v>1482</v>
      </c>
      <c r="B484" s="3" t="str">
        <f>VLOOKUP(A484,Dataset!A:L,2,FALSE)</f>
        <v>Kristen Fuentes</v>
      </c>
      <c r="C484" s="3" t="str">
        <f>VLOOKUP(A484,Dataset!A:L,3,FALSE)</f>
        <v>Shoes</v>
      </c>
      <c r="D484" s="3" t="str">
        <f>VLOOKUP(A484,Dataset!A:L,4,FALSE)</f>
        <v>Slip-ons</v>
      </c>
      <c r="E484" s="3">
        <f>VLOOKUP(A484,Dataset!A:L,8,FALSE)</f>
        <v>0</v>
      </c>
      <c r="F484" s="3">
        <f>VLOOKUP(A484,Dataset!A:L,12,FALSE)</f>
        <v>480.43</v>
      </c>
    </row>
    <row r="485" spans="1:6">
      <c r="A485" s="3">
        <v>1483</v>
      </c>
      <c r="B485" s="3" t="str">
        <f>VLOOKUP(A485,Dataset!A:L,2,FALSE)</f>
        <v>Kenneth Barry</v>
      </c>
      <c r="C485" s="3" t="str">
        <f>VLOOKUP(A485,Dataset!A:L,3,FALSE)</f>
        <v>T-Shirts</v>
      </c>
      <c r="D485" s="3" t="str">
        <f>VLOOKUP(A485,Dataset!A:L,4,FALSE)</f>
        <v>Oversized T-shirt</v>
      </c>
      <c r="E485" s="3">
        <f>VLOOKUP(A485,Dataset!A:L,8,FALSE)</f>
        <v>0</v>
      </c>
      <c r="F485" s="3">
        <f>VLOOKUP(A485,Dataset!A:L,12,FALSE)</f>
        <v>2870.3</v>
      </c>
    </row>
    <row r="486" spans="1:6">
      <c r="A486" s="3">
        <v>1484</v>
      </c>
      <c r="B486" s="3" t="str">
        <f>VLOOKUP(A486,Dataset!A:L,2,FALSE)</f>
        <v>Judith Johnson</v>
      </c>
      <c r="C486" s="3" t="str">
        <f>VLOOKUP(A486,Dataset!A:L,3,FALSE)</f>
        <v>Jackets</v>
      </c>
      <c r="D486" s="3" t="str">
        <f>VLOOKUP(A486,Dataset!A:L,4,FALSE)</f>
        <v>Bomber Jacket</v>
      </c>
      <c r="E486" s="3">
        <f>VLOOKUP(A486,Dataset!A:L,8,FALSE)</f>
        <v>0</v>
      </c>
      <c r="F486" s="3">
        <f>VLOOKUP(A486,Dataset!A:L,12,FALSE)</f>
        <v>2357.7399999999998</v>
      </c>
    </row>
    <row r="487" spans="1:6">
      <c r="A487" s="3">
        <v>1485</v>
      </c>
      <c r="B487" s="3" t="str">
        <f>VLOOKUP(A487,Dataset!A:L,2,FALSE)</f>
        <v>Oscar Williams</v>
      </c>
      <c r="C487" s="3" t="str">
        <f>VLOOKUP(A487,Dataset!A:L,3,FALSE)</f>
        <v>Shoes</v>
      </c>
      <c r="D487" s="3" t="str">
        <f>VLOOKUP(A487,Dataset!A:L,4,FALSE)</f>
        <v>Sneakers</v>
      </c>
      <c r="E487" s="3">
        <f>VLOOKUP(A487,Dataset!A:L,8,FALSE)</f>
        <v>0</v>
      </c>
      <c r="F487" s="3">
        <f>VLOOKUP(A487,Dataset!A:L,12,FALSE)</f>
        <v>672.88</v>
      </c>
    </row>
    <row r="488" spans="1:6">
      <c r="A488" s="3">
        <v>1486</v>
      </c>
      <c r="B488" s="3" t="str">
        <f>VLOOKUP(A488,Dataset!A:L,2,FALSE)</f>
        <v>Gloria Orr</v>
      </c>
      <c r="C488" s="3" t="str">
        <f>VLOOKUP(A488,Dataset!A:L,3,FALSE)</f>
        <v>Jeans</v>
      </c>
      <c r="D488" s="3" t="str">
        <f>VLOOKUP(A488,Dataset!A:L,4,FALSE)</f>
        <v>Ripped Denim</v>
      </c>
      <c r="E488" s="3">
        <f>VLOOKUP(A488,Dataset!A:L,8,FALSE)</f>
        <v>0</v>
      </c>
      <c r="F488" s="3">
        <f>VLOOKUP(A488,Dataset!A:L,12,FALSE)</f>
        <v>2745.83</v>
      </c>
    </row>
    <row r="489" spans="1:6">
      <c r="A489" s="3">
        <v>1487</v>
      </c>
      <c r="B489" s="3" t="str">
        <f>VLOOKUP(A489,Dataset!A:L,2,FALSE)</f>
        <v>Nancy Taylor</v>
      </c>
      <c r="C489" s="3" t="str">
        <f>VLOOKUP(A489,Dataset!A:L,3,FALSE)</f>
        <v>Accessories</v>
      </c>
      <c r="D489" s="3" t="str">
        <f>VLOOKUP(A489,Dataset!A:L,4,FALSE)</f>
        <v>Sunglasses</v>
      </c>
      <c r="E489" s="3">
        <f>VLOOKUP(A489,Dataset!A:L,8,FALSE)</f>
        <v>2147.3000000000002</v>
      </c>
      <c r="F489" s="3">
        <f>VLOOKUP(A489,Dataset!A:L,12,FALSE)</f>
        <v>-849.81</v>
      </c>
    </row>
    <row r="490" spans="1:6">
      <c r="A490" s="3">
        <v>1488</v>
      </c>
      <c r="B490" s="3" t="str">
        <f>VLOOKUP(A490,Dataset!A:L,2,FALSE)</f>
        <v>Jennifer Morales DVM</v>
      </c>
      <c r="C490" s="3" t="str">
        <f>VLOOKUP(A490,Dataset!A:L,3,FALSE)</f>
        <v>Accessories</v>
      </c>
      <c r="D490" s="3" t="str">
        <f>VLOOKUP(A490,Dataset!A:L,4,FALSE)</f>
        <v>Caps</v>
      </c>
      <c r="E490" s="3">
        <f>VLOOKUP(A490,Dataset!A:L,8,FALSE)</f>
        <v>0</v>
      </c>
      <c r="F490" s="3">
        <f>VLOOKUP(A490,Dataset!A:L,12,FALSE)</f>
        <v>2121.1999999999998</v>
      </c>
    </row>
    <row r="491" spans="1:6">
      <c r="A491" s="3">
        <v>1489</v>
      </c>
      <c r="B491" s="3" t="str">
        <f>VLOOKUP(A491,Dataset!A:L,2,FALSE)</f>
        <v>Kimberly Hammond</v>
      </c>
      <c r="C491" s="3" t="str">
        <f>VLOOKUP(A491,Dataset!A:L,3,FALSE)</f>
        <v>Shoes</v>
      </c>
      <c r="D491" s="3" t="str">
        <f>VLOOKUP(A491,Dataset!A:L,4,FALSE)</f>
        <v>Sneakers</v>
      </c>
      <c r="E491" s="3">
        <f>VLOOKUP(A491,Dataset!A:L,8,FALSE)</f>
        <v>0</v>
      </c>
      <c r="F491" s="3">
        <f>VLOOKUP(A491,Dataset!A:L,12,FALSE)</f>
        <v>2102.1999999999998</v>
      </c>
    </row>
    <row r="492" spans="1:6">
      <c r="A492" s="3">
        <v>1490</v>
      </c>
      <c r="B492" s="3" t="str">
        <f>VLOOKUP(A492,Dataset!A:L,2,FALSE)</f>
        <v>Wendy Hernandez</v>
      </c>
      <c r="C492" s="3" t="str">
        <f>VLOOKUP(A492,Dataset!A:L,3,FALSE)</f>
        <v>T-Shirts</v>
      </c>
      <c r="D492" s="3" t="str">
        <f>VLOOKUP(A492,Dataset!A:L,4,FALSE)</f>
        <v>Classic Tee</v>
      </c>
      <c r="E492" s="3">
        <f>VLOOKUP(A492,Dataset!A:L,8,FALSE)</f>
        <v>0</v>
      </c>
      <c r="F492" s="3">
        <f>VLOOKUP(A492,Dataset!A:L,12,FALSE)</f>
        <v>230.97</v>
      </c>
    </row>
    <row r="493" spans="1:6">
      <c r="A493" s="3">
        <v>1491</v>
      </c>
      <c r="B493" s="3" t="str">
        <f>VLOOKUP(A493,Dataset!A:L,2,FALSE)</f>
        <v>Allen Garner</v>
      </c>
      <c r="C493" s="3" t="str">
        <f>VLOOKUP(A493,Dataset!A:L,3,FALSE)</f>
        <v>Shoes</v>
      </c>
      <c r="D493" s="3" t="str">
        <f>VLOOKUP(A493,Dataset!A:L,4,FALSE)</f>
        <v>Sneakers</v>
      </c>
      <c r="E493" s="3">
        <f>VLOOKUP(A493,Dataset!A:L,8,FALSE)</f>
        <v>0</v>
      </c>
      <c r="F493" s="3">
        <f>VLOOKUP(A493,Dataset!A:L,12,FALSE)</f>
        <v>2039.1</v>
      </c>
    </row>
    <row r="494" spans="1:6">
      <c r="A494" s="3">
        <v>1492</v>
      </c>
      <c r="B494" s="3" t="str">
        <f>VLOOKUP(A494,Dataset!A:L,2,FALSE)</f>
        <v>Richard Stephenson</v>
      </c>
      <c r="C494" s="3" t="str">
        <f>VLOOKUP(A494,Dataset!A:L,3,FALSE)</f>
        <v>T-Shirts</v>
      </c>
      <c r="D494" s="3" t="str">
        <f>VLOOKUP(A494,Dataset!A:L,4,FALSE)</f>
        <v>Classic Tee</v>
      </c>
      <c r="E494" s="3">
        <f>VLOOKUP(A494,Dataset!A:L,8,FALSE)</f>
        <v>0</v>
      </c>
      <c r="F494" s="3">
        <f>VLOOKUP(A494,Dataset!A:L,12,FALSE)</f>
        <v>-308.83</v>
      </c>
    </row>
    <row r="495" spans="1:6">
      <c r="A495" s="3">
        <v>1493</v>
      </c>
      <c r="B495" s="3" t="str">
        <f>VLOOKUP(A495,Dataset!A:L,2,FALSE)</f>
        <v>Mr. Gary Wilson</v>
      </c>
      <c r="C495" s="3" t="str">
        <f>VLOOKUP(A495,Dataset!A:L,3,FALSE)</f>
        <v>Dresses</v>
      </c>
      <c r="D495" s="3" t="str">
        <f>VLOOKUP(A495,Dataset!A:L,4,FALSE)</f>
        <v>Wrap Dress</v>
      </c>
      <c r="E495" s="3">
        <f>VLOOKUP(A495,Dataset!A:L,8,FALSE)</f>
        <v>0</v>
      </c>
      <c r="F495" s="3">
        <f>VLOOKUP(A495,Dataset!A:L,12,FALSE)</f>
        <v>478.28</v>
      </c>
    </row>
    <row r="496" spans="1:6">
      <c r="A496" s="3">
        <v>1494</v>
      </c>
      <c r="B496" s="3" t="str">
        <f>VLOOKUP(A496,Dataset!A:L,2,FALSE)</f>
        <v>Elizabeth Nelson</v>
      </c>
      <c r="C496" s="3" t="str">
        <f>VLOOKUP(A496,Dataset!A:L,3,FALSE)</f>
        <v>Jeans</v>
      </c>
      <c r="D496" s="3" t="str">
        <f>VLOOKUP(A496,Dataset!A:L,4,FALSE)</f>
        <v>Straight Cut</v>
      </c>
      <c r="E496" s="3">
        <f>VLOOKUP(A496,Dataset!A:L,8,FALSE)</f>
        <v>0</v>
      </c>
      <c r="F496" s="3">
        <f>VLOOKUP(A496,Dataset!A:L,12,FALSE)</f>
        <v>386.01</v>
      </c>
    </row>
    <row r="497" spans="1:6">
      <c r="A497" s="3">
        <v>1495</v>
      </c>
      <c r="B497" s="3" t="str">
        <f>VLOOKUP(A497,Dataset!A:L,2,FALSE)</f>
        <v>James Mcguire</v>
      </c>
      <c r="C497" s="3" t="str">
        <f>VLOOKUP(A497,Dataset!A:L,3,FALSE)</f>
        <v>Accessories</v>
      </c>
      <c r="D497" s="3" t="str">
        <f>VLOOKUP(A497,Dataset!A:L,4,FALSE)</f>
        <v>Watches</v>
      </c>
      <c r="E497" s="3">
        <f>VLOOKUP(A497,Dataset!A:L,8,FALSE)</f>
        <v>0</v>
      </c>
      <c r="F497" s="3">
        <f>VLOOKUP(A497,Dataset!A:L,12,FALSE)</f>
        <v>2044.15</v>
      </c>
    </row>
    <row r="498" spans="1:6">
      <c r="A498" s="3">
        <v>1496</v>
      </c>
      <c r="B498" s="3" t="str">
        <f>VLOOKUP(A498,Dataset!A:L,2,FALSE)</f>
        <v>Laura Myers</v>
      </c>
      <c r="C498" s="3" t="str">
        <f>VLOOKUP(A498,Dataset!A:L,3,FALSE)</f>
        <v>Jackets</v>
      </c>
      <c r="D498" s="3" t="str">
        <f>VLOOKUP(A498,Dataset!A:L,4,FALSE)</f>
        <v>Denim Jacket</v>
      </c>
      <c r="E498" s="3">
        <f>VLOOKUP(A498,Dataset!A:L,8,FALSE)</f>
        <v>0</v>
      </c>
      <c r="F498" s="3">
        <f>VLOOKUP(A498,Dataset!A:L,12,FALSE)</f>
        <v>2438.13</v>
      </c>
    </row>
    <row r="499" spans="1:6">
      <c r="A499" s="3">
        <v>1497</v>
      </c>
      <c r="B499" s="3" t="str">
        <f>VLOOKUP(A499,Dataset!A:L,2,FALSE)</f>
        <v>Joseph Anderson</v>
      </c>
      <c r="C499" s="3" t="str">
        <f>VLOOKUP(A499,Dataset!A:L,3,FALSE)</f>
        <v>Accessories</v>
      </c>
      <c r="D499" s="3" t="str">
        <f>VLOOKUP(A499,Dataset!A:L,4,FALSE)</f>
        <v>Belts</v>
      </c>
      <c r="E499" s="3">
        <f>VLOOKUP(A499,Dataset!A:L,8,FALSE)</f>
        <v>0</v>
      </c>
      <c r="F499" s="3">
        <f>VLOOKUP(A499,Dataset!A:L,12,FALSE)</f>
        <v>1561.06</v>
      </c>
    </row>
    <row r="500" spans="1:6">
      <c r="A500" s="3">
        <v>1498</v>
      </c>
      <c r="B500" s="3" t="str">
        <f>VLOOKUP(A500,Dataset!A:L,2,FALSE)</f>
        <v>Tiffany Calhoun</v>
      </c>
      <c r="C500" s="3" t="str">
        <f>VLOOKUP(A500,Dataset!A:L,3,FALSE)</f>
        <v>Jeans</v>
      </c>
      <c r="D500" s="3" t="str">
        <f>VLOOKUP(A500,Dataset!A:L,4,FALSE)</f>
        <v>Straight Cut</v>
      </c>
      <c r="E500" s="3">
        <f>VLOOKUP(A500,Dataset!A:L,8,FALSE)</f>
        <v>0</v>
      </c>
      <c r="F500" s="3">
        <f>VLOOKUP(A500,Dataset!A:L,12,FALSE)</f>
        <v>2442.42</v>
      </c>
    </row>
    <row r="501" spans="1:6">
      <c r="A501" s="3">
        <v>1499</v>
      </c>
      <c r="B501" s="3" t="str">
        <f>VLOOKUP(A501,Dataset!A:L,2,FALSE)</f>
        <v>Lauren Ellis</v>
      </c>
      <c r="C501" s="3" t="str">
        <f>VLOOKUP(A501,Dataset!A:L,3,FALSE)</f>
        <v>T-Shirts</v>
      </c>
      <c r="D501" s="3" t="str">
        <f>VLOOKUP(A501,Dataset!A:L,4,FALSE)</f>
        <v>Crop Top</v>
      </c>
      <c r="E501" s="3">
        <f>VLOOKUP(A501,Dataset!A:L,8,FALSE)</f>
        <v>0</v>
      </c>
      <c r="F501" s="3">
        <f>VLOOKUP(A501,Dataset!A:L,12,FALSE)</f>
        <v>2116.52</v>
      </c>
    </row>
    <row r="502" spans="1:6">
      <c r="A502" s="3">
        <v>1500</v>
      </c>
      <c r="B502" s="3" t="str">
        <f>VLOOKUP(A502,Dataset!A:L,2,FALSE)</f>
        <v>Jerry Turner</v>
      </c>
      <c r="C502" s="3" t="str">
        <f>VLOOKUP(A502,Dataset!A:L,3,FALSE)</f>
        <v>Jeans</v>
      </c>
      <c r="D502" s="3" t="str">
        <f>VLOOKUP(A502,Dataset!A:L,4,FALSE)</f>
        <v>Straight Cut</v>
      </c>
      <c r="E502" s="3">
        <f>VLOOKUP(A502,Dataset!A:L,8,FALSE)</f>
        <v>0</v>
      </c>
      <c r="F502" s="3">
        <f>VLOOKUP(A502,Dataset!A:L,12,FALSE)</f>
        <v>-648.94000000000005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0073-3314-44ED-AA03-B0B2DC8DC939}">
  <dimension ref="A1:A13"/>
  <sheetViews>
    <sheetView tabSelected="1" workbookViewId="0">
      <selection activeCell="N1" sqref="N1"/>
    </sheetView>
  </sheetViews>
  <sheetFormatPr defaultRowHeight="14.4"/>
  <sheetData>
    <row r="1" spans="1:1" ht="21">
      <c r="A1" s="4" t="s">
        <v>550</v>
      </c>
    </row>
    <row r="2" spans="1:1">
      <c r="A2" s="5" t="s">
        <v>551</v>
      </c>
    </row>
    <row r="4" spans="1:1">
      <c r="A4" t="s">
        <v>552</v>
      </c>
    </row>
    <row r="5" spans="1:1">
      <c r="A5" t="s">
        <v>553</v>
      </c>
    </row>
    <row r="6" spans="1:1">
      <c r="A6" t="s">
        <v>554</v>
      </c>
    </row>
    <row r="7" spans="1:1">
      <c r="A7" t="s">
        <v>555</v>
      </c>
    </row>
    <row r="8" spans="1:1">
      <c r="A8" t="s">
        <v>561</v>
      </c>
    </row>
    <row r="9" spans="1:1">
      <c r="A9" t="s">
        <v>556</v>
      </c>
    </row>
    <row r="10" spans="1:1">
      <c r="A10" t="s">
        <v>557</v>
      </c>
    </row>
    <row r="11" spans="1:1">
      <c r="A11" t="s">
        <v>558</v>
      </c>
    </row>
    <row r="12" spans="1:1">
      <c r="A12" t="s">
        <v>559</v>
      </c>
    </row>
    <row r="13" spans="1:1">
      <c r="A13" t="s">
        <v>560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2FFF44C-7B3A-4B78-ADBC-2AA6CF9D2DA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</vt:lpstr>
      <vt:lpstr>Day 13</vt:lpstr>
      <vt:lpstr>Observation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Sastha S</dc:creator>
  <cp:lastModifiedBy>Sastha S</cp:lastModifiedBy>
  <dcterms:created xsi:type="dcterms:W3CDTF">2026-06-27T17:58:03Z</dcterms:created>
  <dcterms:modified xsi:type="dcterms:W3CDTF">2026-06-27T18:25:56Z</dcterms:modified>
</cp:coreProperties>
</file>